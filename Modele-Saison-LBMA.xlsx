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rappeurs" sheetId="1" state="visible" r:id="rId3"/>
    <sheet name="Lanceurs" sheetId="2" state="visible" r:id="rId4"/>
    <sheet name="Matchs" sheetId="3" state="visible" r:id="rId5"/>
    <sheet name="Classement" sheetId="4" state="visible" r:id="rId6"/>
    <sheet name="Série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<sst xmlns="http://schemas.openxmlformats.org/spreadsheetml/2006/main" count="115" uniqueCount="74">
  <si>
    <t xml:space="preserve">Joueur</t>
  </si>
  <si>
    <t xml:space="preserve">Équipe</t>
  </si>
  <si>
    <t xml:space="preserve">#</t>
  </si>
  <si>
    <t xml:space="preserve">PJ</t>
  </si>
  <si>
    <t xml:space="preserve">AB</t>
  </si>
  <si>
    <t xml:space="preserve">CS</t>
  </si>
  <si>
    <t xml:space="preserve">1B</t>
  </si>
  <si>
    <t xml:space="preserve">2B</t>
  </si>
  <si>
    <t xml:space="preserve">3B</t>
  </si>
  <si>
    <t xml:space="preserve">CC</t>
  </si>
  <si>
    <t xml:space="preserve">PP</t>
  </si>
  <si>
    <t xml:space="preserve">BR</t>
  </si>
  <si>
    <t xml:space="preserve">BB</t>
  </si>
  <si>
    <t xml:space="preserve">MOY</t>
  </si>
  <si>
    <t xml:space="preserve">PEB</t>
  </si>
  <si>
    <t xml:space="preserve">SLUG</t>
  </si>
  <si>
    <t xml:space="preserve">Patrick Chartrand</t>
  </si>
  <si>
    <t xml:space="preserve">Aigles</t>
  </si>
  <si>
    <t xml:space="preserve">Serge Chaussé</t>
  </si>
  <si>
    <t xml:space="preserve">Condors</t>
  </si>
  <si>
    <t xml:space="preserve">Marc Gauthier</t>
  </si>
  <si>
    <t xml:space="preserve">Ducs</t>
  </si>
  <si>
    <t xml:space="preserve">Légende:</t>
  </si>
  <si>
    <t xml:space="preserve">PJ=Parties Jouées, AB=Au Bâton, CS=Coups Sûrs, 1B=Simples, 2B=Doubles, 3B=Triples, CC=Circuits</t>
  </si>
  <si>
    <t xml:space="preserve">PP=Points Produits, BR=Buts Volés, BB=Buts sur Balles, MOY=Moyenne, PEB=% En Base, SLUG=% Puissance</t>
  </si>
  <si>
    <t xml:space="preserve">Lanceur</t>
  </si>
  <si>
    <t xml:space="preserve">PL</t>
  </si>
  <si>
    <t xml:space="preserve">V</t>
  </si>
  <si>
    <t xml:space="preserve">D</t>
  </si>
  <si>
    <t xml:space="preserve">%</t>
  </si>
  <si>
    <t xml:space="preserve">SV</t>
  </si>
  <si>
    <t xml:space="preserve">MAN</t>
  </si>
  <si>
    <t xml:space="preserve">PM</t>
  </si>
  <si>
    <t xml:space="preserve">RB</t>
  </si>
  <si>
    <t xml:space="preserve">MPM</t>
  </si>
  <si>
    <t xml:space="preserve">Michel Tremblay</t>
  </si>
  <si>
    <t xml:space="preserve">Robert Gagnon</t>
  </si>
  <si>
    <t xml:space="preserve">PL=Parties Lancées, V=Victoires, D=Défaites, %=% Victoires, SV=Sauvetages, MAN=Manches</t>
  </si>
  <si>
    <t xml:space="preserve">AB=Au Bâton, CS=Coups Sûrs Accordés, PM=Points Mérités, BB=Buts Balles, RB=Retraits Bâton, MPM=Moy. Points Mérités</t>
  </si>
  <si>
    <t xml:space="preserve">Date</t>
  </si>
  <si>
    <t xml:space="preserve">Heure</t>
  </si>
  <si>
    <t xml:space="preserve">Équipe Locale</t>
  </si>
  <si>
    <t xml:space="preserve">Points</t>
  </si>
  <si>
    <t xml:space="preserve">Équipe Visiteuse</t>
  </si>
  <si>
    <t xml:space="preserve">Manches</t>
  </si>
  <si>
    <t xml:space="preserve">Gagnant</t>
  </si>
  <si>
    <t xml:space="preserve">Notes</t>
  </si>
  <si>
    <t xml:space="preserve">2026-05-15</t>
  </si>
  <si>
    <t xml:space="preserve">19:00</t>
  </si>
  <si>
    <t xml:space="preserve">Match serré</t>
  </si>
  <si>
    <t xml:space="preserve">2026-05-17</t>
  </si>
  <si>
    <t xml:space="preserve">Vautours</t>
  </si>
  <si>
    <t xml:space="preserve">Victoire facile</t>
  </si>
  <si>
    <t xml:space="preserve">2026-05-19</t>
  </si>
  <si>
    <t xml:space="preserve">Harfangs</t>
  </si>
  <si>
    <t xml:space="preserve">Faucons</t>
  </si>
  <si>
    <t xml:space="preserve">Position</t>
  </si>
  <si>
    <t xml:space="preserve">Points Pour</t>
  </si>
  <si>
    <t xml:space="preserve">Points Contre</t>
  </si>
  <si>
    <t xml:space="preserve">Différence</t>
  </si>
  <si>
    <t xml:space="preserve">Tour</t>
  </si>
  <si>
    <t xml:space="preserve">Série</t>
  </si>
  <si>
    <t xml:space="preserve">Équipe 1</t>
  </si>
  <si>
    <t xml:space="preserve">Équipe 2</t>
  </si>
  <si>
    <t xml:space="preserve">Score Série</t>
  </si>
  <si>
    <t xml:space="preserve">MVP</t>
  </si>
  <si>
    <t xml:space="preserve">Demi-finale</t>
  </si>
  <si>
    <t xml:space="preserve">A</t>
  </si>
  <si>
    <t xml:space="preserve">3-1</t>
  </si>
  <si>
    <t xml:space="preserve">B</t>
  </si>
  <si>
    <t xml:space="preserve">3-2</t>
  </si>
  <si>
    <t xml:space="preserve">Finale</t>
  </si>
  <si>
    <t xml:space="preserve">Championship</t>
  </si>
  <si>
    <t xml:space="preserve">4-2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</si>
</sst>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FFFFFF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2D5016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2D5016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5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2"/>
    <col collapsed="false" customWidth="true" hidden="false" outlineLevel="0" max="4" min="3" style="0" width="5"/>
    <col collapsed="false" customWidth="true" hidden="false" outlineLevel="0" max="6" min="5" style="0" width="6"/>
    <col collapsed="false" customWidth="true" hidden="false" outlineLevel="0" max="10" min="7" style="0" width="5"/>
    <col collapsed="false" customWidth="true" hidden="false" outlineLevel="0" max="11" min="11" style="0" width="6"/>
    <col collapsed="false" customWidth="true" hidden="false" outlineLevel="0" max="13" min="12" style="0" width="5"/>
    <col collapsed="false" customWidth="true" hidden="false" outlineLevel="0" max="16" min="14" style="0" width="7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customFormat="false" ht="15" hidden="false" customHeight="false" outlineLevel="0" collapsed="false">
      <c r="A2" s="0" t="s">
        <v>16</v>
      </c>
      <c r="B2" s="0" t="s">
        <v>17</v>
      </c>
      <c r="C2" s="0" t="n">
        <v>12</v>
      </c>
      <c r="D2" s="0" t="n">
        <v>42</v>
      </c>
      <c r="E2" s="0" t="n">
        <v>156</v>
      </c>
      <c r="F2" s="0" t="n">
        <v>98</v>
      </c>
      <c r="G2" s="0" t="n">
        <v>45</v>
      </c>
      <c r="H2" s="0" t="n">
        <v>23</v>
      </c>
      <c r="I2" s="0" t="n">
        <v>5</v>
      </c>
      <c r="J2" s="0" t="n">
        <v>25</v>
      </c>
      <c r="K2" s="0" t="n">
        <v>67</v>
      </c>
      <c r="L2" s="0" t="n">
        <v>12</v>
      </c>
      <c r="M2" s="0" t="n">
        <v>18</v>
      </c>
      <c r="N2" s="0" t="n">
        <f aca="false">IF(E2&gt;0,ROUND(F2/E2,3),0)</f>
        <v>0.628</v>
      </c>
      <c r="O2" s="0" t="n">
        <f aca="false">IF((E2+M2)&gt;0,ROUND((F2+M2)/(E2+M2),3),0)</f>
        <v>0.667</v>
      </c>
      <c r="P2" s="0" t="n">
        <f aca="false">IF(E2&gt;0,ROUND((G2+H2*2+I2*3+J2*4)/E2,3),0)</f>
        <v>1.321</v>
      </c>
    </row>
    <row r="3" customFormat="false" ht="15" hidden="false" customHeight="false" outlineLevel="0" collapsed="false">
      <c r="A3" s="0" t="s">
        <v>18</v>
      </c>
      <c r="B3" s="0" t="s">
        <v>19</v>
      </c>
      <c r="C3" s="0" t="n">
        <v>7</v>
      </c>
      <c r="D3" s="0" t="n">
        <v>40</v>
      </c>
      <c r="E3" s="0" t="n">
        <v>148</v>
      </c>
      <c r="F3" s="0" t="n">
        <v>92</v>
      </c>
      <c r="G3" s="0" t="n">
        <v>42</v>
      </c>
      <c r="H3" s="0" t="n">
        <v>20</v>
      </c>
      <c r="I3" s="0" t="n">
        <v>4</v>
      </c>
      <c r="J3" s="0" t="n">
        <v>26</v>
      </c>
      <c r="K3" s="0" t="n">
        <v>63</v>
      </c>
      <c r="L3" s="0" t="n">
        <v>10</v>
      </c>
      <c r="M3" s="0" t="n">
        <v>15</v>
      </c>
      <c r="N3" s="0" t="n">
        <f aca="false">IF(E3&gt;0,ROUND(F3/E3,3),0)</f>
        <v>0.622</v>
      </c>
      <c r="O3" s="0" t="n">
        <f aca="false">IF((E3+M3)&gt;0,ROUND((F3+M3)/(E3+M3),3),0)</f>
        <v>0.656</v>
      </c>
      <c r="P3" s="0" t="n">
        <f aca="false">IF(E3&gt;0,ROUND((G3+H3*2+I3*3+J3*4)/E3,3),0)</f>
        <v>1.338</v>
      </c>
    </row>
    <row r="4" customFormat="false" ht="15" hidden="false" customHeight="false" outlineLevel="0" collapsed="false">
      <c r="A4" s="0" t="s">
        <v>20</v>
      </c>
      <c r="B4" s="0" t="s">
        <v>21</v>
      </c>
      <c r="C4" s="0" t="n">
        <v>23</v>
      </c>
      <c r="D4" s="0" t="n">
        <v>38</v>
      </c>
      <c r="E4" s="0" t="n">
        <v>142</v>
      </c>
      <c r="F4" s="0" t="n">
        <v>89</v>
      </c>
      <c r="G4" s="0" t="n">
        <v>41</v>
      </c>
      <c r="H4" s="0" t="n">
        <v>19</v>
      </c>
      <c r="I4" s="0" t="n">
        <v>4</v>
      </c>
      <c r="J4" s="0" t="n">
        <v>25</v>
      </c>
      <c r="K4" s="0" t="n">
        <v>61</v>
      </c>
      <c r="L4" s="0" t="n">
        <v>8</v>
      </c>
      <c r="M4" s="0" t="n">
        <v>14</v>
      </c>
      <c r="N4" s="0" t="n">
        <f aca="false">IF(E4&gt;0,ROUND(F4/E4,3),0)</f>
        <v>0.627</v>
      </c>
      <c r="O4" s="0" t="n">
        <f aca="false">IF((E4+M4)&gt;0,ROUND((F4+M4)/(E4+M4),3),0)</f>
        <v>0.66</v>
      </c>
      <c r="P4" s="0" t="n">
        <f aca="false">IF(E4&gt;0,ROUND((G4+H4*2+I4*3+J4*4)/E4,3),0)</f>
        <v>1.345</v>
      </c>
    </row>
    <row r="50" customFormat="false" ht="15" hidden="false" customHeight="false" outlineLevel="0" collapsed="false">
      <c r="A50" s="0" t="s">
        <v>22</v>
      </c>
    </row>
    <row r="51" customFormat="false" ht="15" hidden="false" customHeight="false" outlineLevel="0" collapsed="false">
      <c r="A51" s="0" t="s">
        <v>23</v>
      </c>
    </row>
    <row r="52" customFormat="false" ht="15" hidden="false" customHeight="false" outlineLevel="0" collapsed="false">
      <c r="A52" s="0" t="s">
        <v>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2"/>
    <col collapsed="false" customWidth="true" hidden="false" outlineLevel="0" max="5" min="3" style="0" width="5"/>
    <col collapsed="false" customWidth="true" hidden="false" outlineLevel="0" max="6" min="6" style="0" width="7"/>
    <col collapsed="false" customWidth="true" hidden="false" outlineLevel="0" max="7" min="7" style="0" width="5"/>
    <col collapsed="false" customWidth="true" hidden="false" outlineLevel="0" max="8" min="8" style="0" width="7"/>
    <col collapsed="false" customWidth="true" hidden="false" outlineLevel="0" max="11" min="9" style="0" width="6"/>
    <col collapsed="false" customWidth="true" hidden="false" outlineLevel="0" max="13" min="12" style="0" width="5"/>
    <col collapsed="false" customWidth="true" hidden="false" outlineLevel="0" max="14" min="14" style="0" width="7"/>
  </cols>
  <sheetData>
    <row r="1" customFormat="false" ht="15" hidden="false" customHeight="false" outlineLevel="0" collapsed="false">
      <c r="A1" s="1" t="s">
        <v>25</v>
      </c>
      <c r="B1" s="1" t="s">
        <v>1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4</v>
      </c>
      <c r="J1" s="1" t="s">
        <v>5</v>
      </c>
      <c r="K1" s="1" t="s">
        <v>32</v>
      </c>
      <c r="L1" s="1" t="s">
        <v>12</v>
      </c>
      <c r="M1" s="1" t="s">
        <v>33</v>
      </c>
      <c r="N1" s="1" t="s">
        <v>34</v>
      </c>
    </row>
    <row r="2" customFormat="false" ht="15" hidden="false" customHeight="false" outlineLevel="0" collapsed="false">
      <c r="A2" s="0" t="s">
        <v>35</v>
      </c>
      <c r="B2" s="0" t="s">
        <v>17</v>
      </c>
      <c r="C2" s="0" t="n">
        <v>35</v>
      </c>
      <c r="D2" s="0" t="n">
        <v>22</v>
      </c>
      <c r="E2" s="0" t="n">
        <v>13</v>
      </c>
      <c r="F2" s="0" t="n">
        <f aca="false">IF((D2+E2)&gt;0,ROUND(D2/(D2+E2),3),0)</f>
        <v>0.629</v>
      </c>
      <c r="G2" s="0" t="n">
        <v>0</v>
      </c>
      <c r="H2" s="0" t="n">
        <v>245.2</v>
      </c>
      <c r="I2" s="0" t="n">
        <v>892</v>
      </c>
      <c r="J2" s="0" t="n">
        <v>556</v>
      </c>
      <c r="K2" s="0" t="n">
        <v>178</v>
      </c>
      <c r="L2" s="0" t="n">
        <v>89</v>
      </c>
      <c r="M2" s="0" t="n">
        <v>156</v>
      </c>
      <c r="N2" s="0" t="n">
        <f aca="false">IF(H2&gt;0,ROUND((K2*7)/H2,2),0)</f>
        <v>5.08</v>
      </c>
    </row>
    <row r="3" customFormat="false" ht="15" hidden="false" customHeight="false" outlineLevel="0" collapsed="false">
      <c r="A3" s="0" t="s">
        <v>36</v>
      </c>
      <c r="B3" s="0" t="s">
        <v>19</v>
      </c>
      <c r="C3" s="0" t="n">
        <v>32</v>
      </c>
      <c r="D3" s="0" t="n">
        <v>19</v>
      </c>
      <c r="E3" s="0" t="n">
        <v>13</v>
      </c>
      <c r="F3" s="0" t="n">
        <f aca="false">IF((D3+E3)&gt;0,ROUND(D3/(D3+E3),3),0)</f>
        <v>0.594</v>
      </c>
      <c r="G3" s="0" t="n">
        <v>2</v>
      </c>
      <c r="H3" s="0" t="n">
        <v>224.1</v>
      </c>
      <c r="I3" s="0" t="n">
        <v>823</v>
      </c>
      <c r="J3" s="0" t="n">
        <v>512</v>
      </c>
      <c r="K3" s="0" t="n">
        <v>165</v>
      </c>
      <c r="L3" s="0" t="n">
        <v>76</v>
      </c>
      <c r="M3" s="0" t="n">
        <v>142</v>
      </c>
      <c r="N3" s="0" t="n">
        <f aca="false">IF(H3&gt;0,ROUND((K3*7)/H3,2),0)</f>
        <v>5.15</v>
      </c>
    </row>
    <row r="50" customFormat="false" ht="15" hidden="false" customHeight="false" outlineLevel="0" collapsed="false">
      <c r="A50" s="0" t="s">
        <v>22</v>
      </c>
    </row>
    <row r="51" customFormat="false" ht="15" hidden="false" customHeight="false" outlineLevel="0" collapsed="false">
      <c r="A51" s="0" t="s">
        <v>37</v>
      </c>
    </row>
    <row r="52" customFormat="false" ht="15" hidden="false" customHeight="false" outlineLevel="0" collapsed="false">
      <c r="A52" s="0" t="s">
        <v>38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8"/>
    <col collapsed="false" customWidth="true" hidden="false" outlineLevel="0" max="3" min="3" style="0" width="18"/>
    <col collapsed="false" customWidth="true" hidden="false" outlineLevel="0" max="4" min="4" style="0" width="8"/>
    <col collapsed="false" customWidth="true" hidden="false" outlineLevel="0" max="5" min="5" style="0" width="18"/>
    <col collapsed="false" customWidth="true" hidden="false" outlineLevel="0" max="6" min="6" style="0" width="8"/>
    <col collapsed="false" customWidth="true" hidden="false" outlineLevel="0" max="7" min="7" style="0" width="10"/>
    <col collapsed="false" customWidth="true" hidden="false" outlineLevel="0" max="8" min="8" style="0" width="15"/>
    <col collapsed="false" customWidth="true" hidden="false" outlineLevel="0" max="9" min="9" style="0" width="30"/>
  </cols>
  <sheetData>
    <row r="1" customFormat="false" ht="15" hidden="false" customHeight="false" outlineLevel="0" collapsed="false">
      <c r="A1" s="1" t="s">
        <v>39</v>
      </c>
      <c r="B1" s="1" t="s">
        <v>40</v>
      </c>
      <c r="C1" s="1" t="s">
        <v>41</v>
      </c>
      <c r="D1" s="1" t="s">
        <v>42</v>
      </c>
      <c r="E1" s="1" t="s">
        <v>43</v>
      </c>
      <c r="F1" s="1" t="s">
        <v>42</v>
      </c>
      <c r="G1" s="1" t="s">
        <v>44</v>
      </c>
      <c r="H1" s="1" t="s">
        <v>45</v>
      </c>
      <c r="I1" s="1" t="s">
        <v>46</v>
      </c>
    </row>
    <row r="2" customFormat="false" ht="15" hidden="false" customHeight="false" outlineLevel="0" collapsed="false">
      <c r="A2" s="0" t="s">
        <v>47</v>
      </c>
      <c r="B2" s="0" t="s">
        <v>48</v>
      </c>
      <c r="C2" s="0" t="s">
        <v>17</v>
      </c>
      <c r="D2" s="0" t="n">
        <v>12</v>
      </c>
      <c r="E2" s="0" t="s">
        <v>19</v>
      </c>
      <c r="F2" s="0" t="n">
        <v>8</v>
      </c>
      <c r="G2" s="0" t="n">
        <v>7</v>
      </c>
      <c r="H2" s="0" t="s">
        <v>17</v>
      </c>
      <c r="I2" s="0" t="s">
        <v>49</v>
      </c>
    </row>
    <row r="3" customFormat="false" ht="15" hidden="false" customHeight="false" outlineLevel="0" collapsed="false">
      <c r="A3" s="0" t="s">
        <v>50</v>
      </c>
      <c r="B3" s="0" t="s">
        <v>48</v>
      </c>
      <c r="C3" s="0" t="s">
        <v>21</v>
      </c>
      <c r="D3" s="0" t="n">
        <v>15</v>
      </c>
      <c r="E3" s="0" t="s">
        <v>51</v>
      </c>
      <c r="F3" s="0" t="n">
        <v>3</v>
      </c>
      <c r="G3" s="0" t="n">
        <v>7</v>
      </c>
      <c r="H3" s="0" t="s">
        <v>21</v>
      </c>
      <c r="I3" s="0" t="s">
        <v>52</v>
      </c>
    </row>
    <row r="4" customFormat="false" ht="15" hidden="false" customHeight="false" outlineLevel="0" collapsed="false">
      <c r="A4" s="0" t="s">
        <v>53</v>
      </c>
      <c r="B4" s="0" t="s">
        <v>48</v>
      </c>
      <c r="C4" s="0" t="s">
        <v>54</v>
      </c>
      <c r="D4" s="0" t="n">
        <v>10</v>
      </c>
      <c r="E4" s="0" t="s">
        <v>55</v>
      </c>
      <c r="F4" s="0" t="n">
        <v>7</v>
      </c>
      <c r="G4" s="0" t="n">
        <v>7</v>
      </c>
      <c r="H4" s="0" t="s">
        <v>54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5"/>
    <col collapsed="false" customWidth="true" hidden="false" outlineLevel="0" max="5" min="3" style="0" width="6"/>
    <col collapsed="false" customWidth="true" hidden="false" outlineLevel="0" max="6" min="6" style="0" width="7"/>
    <col collapsed="false" customWidth="true" hidden="false" outlineLevel="0" max="7" min="7" style="0" width="12"/>
    <col collapsed="false" customWidth="true" hidden="false" outlineLevel="0" max="8" min="8" style="0" width="14"/>
    <col collapsed="false" customWidth="true" hidden="false" outlineLevel="0" max="9" min="9" style="0" width="12"/>
  </cols>
  <sheetData>
    <row r="1" customFormat="false" ht="15" hidden="false" customHeight="false" outlineLevel="0" collapsed="false">
      <c r="A1" s="1" t="s">
        <v>56</v>
      </c>
      <c r="B1" s="1" t="s">
        <v>1</v>
      </c>
      <c r="C1" s="1" t="s">
        <v>3</v>
      </c>
      <c r="D1" s="1" t="s">
        <v>27</v>
      </c>
      <c r="E1" s="1" t="s">
        <v>28</v>
      </c>
      <c r="F1" s="1" t="s">
        <v>29</v>
      </c>
      <c r="G1" s="1" t="s">
        <v>57</v>
      </c>
      <c r="H1" s="1" t="s">
        <v>58</v>
      </c>
      <c r="I1" s="1" t="s">
        <v>59</v>
      </c>
    </row>
    <row r="2" customFormat="false" ht="15" hidden="false" customHeight="false" outlineLevel="0" collapsed="false">
      <c r="A2" s="0" t="n">
        <v>1</v>
      </c>
      <c r="B2" s="0" t="s">
        <v>17</v>
      </c>
      <c r="C2" s="0" t="n">
        <v>48</v>
      </c>
      <c r="D2" s="0" t="n">
        <v>32</v>
      </c>
      <c r="E2" s="0" t="n">
        <v>16</v>
      </c>
      <c r="F2" s="0" t="n">
        <f aca="false">IF((D2+E2)&gt;0,ROUND(D2/(D2+E2),3),0)</f>
        <v>0.667</v>
      </c>
      <c r="G2" s="0" t="n">
        <v>456</v>
      </c>
      <c r="H2" s="0" t="n">
        <v>312</v>
      </c>
      <c r="I2" s="0" t="n">
        <f aca="false">G2-H2</f>
        <v>144</v>
      </c>
    </row>
    <row r="3" customFormat="false" ht="15" hidden="false" customHeight="false" outlineLevel="0" collapsed="false">
      <c r="A3" s="0" t="n">
        <v>2</v>
      </c>
      <c r="B3" s="0" t="s">
        <v>19</v>
      </c>
      <c r="C3" s="0" t="n">
        <v>48</v>
      </c>
      <c r="D3" s="0" t="n">
        <v>28</v>
      </c>
      <c r="E3" s="0" t="n">
        <v>20</v>
      </c>
      <c r="F3" s="0" t="n">
        <f aca="false">IF((D3+E3)&gt;0,ROUND(D3/(D3+E3),3),0)</f>
        <v>0.583</v>
      </c>
      <c r="G3" s="0" t="n">
        <v>423</v>
      </c>
      <c r="H3" s="0" t="n">
        <v>345</v>
      </c>
      <c r="I3" s="0" t="n">
        <f aca="false">G3-H3</f>
        <v>78</v>
      </c>
    </row>
    <row r="4" customFormat="false" ht="15" hidden="false" customHeight="false" outlineLevel="0" collapsed="false">
      <c r="A4" s="0" t="n">
        <v>3</v>
      </c>
      <c r="B4" s="0" t="s">
        <v>21</v>
      </c>
      <c r="C4" s="0" t="n">
        <v>48</v>
      </c>
      <c r="D4" s="0" t="n">
        <v>26</v>
      </c>
      <c r="E4" s="0" t="n">
        <v>22</v>
      </c>
      <c r="F4" s="0" t="n">
        <f aca="false">IF((D4+E4)&gt;0,ROUND(D4/(D4+E4),3),0)</f>
        <v>0.542</v>
      </c>
      <c r="G4" s="0" t="n">
        <v>398</v>
      </c>
      <c r="H4" s="0" t="n">
        <v>367</v>
      </c>
      <c r="I4" s="0" t="n">
        <f aca="false">G4-H4</f>
        <v>31</v>
      </c>
    </row>
    <row r="5" customFormat="false" ht="15" hidden="false" customHeight="false" outlineLevel="0" collapsed="false">
      <c r="A5" s="0" t="n">
        <v>4</v>
      </c>
      <c r="B5" s="0" t="s">
        <v>51</v>
      </c>
      <c r="C5" s="0" t="n">
        <v>48</v>
      </c>
      <c r="D5" s="0" t="n">
        <v>24</v>
      </c>
      <c r="E5" s="0" t="n">
        <v>24</v>
      </c>
      <c r="F5" s="0" t="n">
        <f aca="false">IF((D5+E5)&gt;0,ROUND(D5/(D5+E5),3),0)</f>
        <v>0.5</v>
      </c>
      <c r="G5" s="0" t="n">
        <v>387</v>
      </c>
      <c r="H5" s="0" t="n">
        <v>389</v>
      </c>
      <c r="I5" s="0" t="n">
        <f aca="false">G5-H5</f>
        <v>-2</v>
      </c>
    </row>
    <row r="6" customFormat="false" ht="15" hidden="false" customHeight="false" outlineLevel="0" collapsed="false">
      <c r="A6" s="0" t="n">
        <v>5</v>
      </c>
      <c r="B6" s="0" t="s">
        <v>54</v>
      </c>
      <c r="C6" s="0" t="n">
        <v>48</v>
      </c>
      <c r="D6" s="0" t="n">
        <v>22</v>
      </c>
      <c r="E6" s="0" t="n">
        <v>26</v>
      </c>
      <c r="F6" s="0" t="n">
        <f aca="false">IF((D6+E6)&gt;0,ROUND(D6/(D6+E6),3),0)</f>
        <v>0.458</v>
      </c>
      <c r="G6" s="0" t="n">
        <v>356</v>
      </c>
      <c r="H6" s="0" t="n">
        <v>398</v>
      </c>
      <c r="I6" s="0" t="n">
        <f aca="false">G6-H6</f>
        <v>-42</v>
      </c>
    </row>
    <row r="7" customFormat="false" ht="15" hidden="false" customHeight="false" outlineLevel="0" collapsed="false">
      <c r="A7" s="0" t="n">
        <v>6</v>
      </c>
      <c r="B7" s="0" t="s">
        <v>55</v>
      </c>
      <c r="C7" s="0" t="n">
        <v>48</v>
      </c>
      <c r="D7" s="0" t="n">
        <v>18</v>
      </c>
      <c r="E7" s="0" t="n">
        <v>30</v>
      </c>
      <c r="F7" s="0" t="n">
        <f aca="false">IF((D7+E7)&gt;0,ROUND(D7/(D7+E7),3),0)</f>
        <v>0.375</v>
      </c>
      <c r="G7" s="0" t="n">
        <v>334</v>
      </c>
      <c r="H7" s="0" t="n">
        <v>421</v>
      </c>
      <c r="I7" s="0" t="n">
        <f aca="false">G7-H7</f>
        <v>-87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5"/>
    <col collapsed="false" customWidth="true" hidden="false" outlineLevel="0" max="5" min="3" style="0" width="18"/>
    <col collapsed="false" customWidth="true" hidden="false" outlineLevel="0" max="6" min="6" style="0" width="15"/>
    <col collapsed="false" customWidth="true" hidden="false" outlineLevel="0" max="7" min="7" style="0" width="25"/>
  </cols>
  <sheetData>
    <row r="1" customFormat="false" ht="15" hidden="false" customHeight="false" outlineLevel="0" collapsed="false">
      <c r="A1" s="1" t="s">
        <v>60</v>
      </c>
      <c r="B1" s="1" t="s">
        <v>61</v>
      </c>
      <c r="C1" s="1" t="s">
        <v>62</v>
      </c>
      <c r="D1" s="1" t="s">
        <v>63</v>
      </c>
      <c r="E1" s="1" t="s">
        <v>45</v>
      </c>
      <c r="F1" s="1" t="s">
        <v>64</v>
      </c>
      <c r="G1" s="1" t="s">
        <v>65</v>
      </c>
    </row>
    <row r="2" customFormat="false" ht="15" hidden="false" customHeight="false" outlineLevel="0" collapsed="false">
      <c r="A2" s="0" t="s">
        <v>66</v>
      </c>
      <c r="B2" s="0" t="s">
        <v>67</v>
      </c>
      <c r="C2" s="0" t="s">
        <v>17</v>
      </c>
      <c r="D2" s="0" t="s">
        <v>21</v>
      </c>
      <c r="E2" s="0" t="s">
        <v>17</v>
      </c>
      <c r="F2" s="0" t="s">
        <v>68</v>
      </c>
      <c r="G2" s="0" t="s">
        <v>16</v>
      </c>
    </row>
    <row r="3" customFormat="false" ht="15" hidden="false" customHeight="false" outlineLevel="0" collapsed="false">
      <c r="A3" s="0" t="s">
        <v>66</v>
      </c>
      <c r="B3" s="0" t="s">
        <v>69</v>
      </c>
      <c r="C3" s="0" t="s">
        <v>19</v>
      </c>
      <c r="D3" s="0" t="s">
        <v>51</v>
      </c>
      <c r="E3" s="0" t="s">
        <v>19</v>
      </c>
      <c r="F3" s="0" t="s">
        <v>70</v>
      </c>
      <c r="G3" s="0" t="s">
        <v>18</v>
      </c>
    </row>
    <row r="4" customFormat="false" ht="15" hidden="false" customHeight="false" outlineLevel="0" collapsed="false">
      <c r="A4" s="0" t="s">
        <v>71</v>
      </c>
      <c r="B4" s="0" t="s">
        <v>72</v>
      </c>
      <c r="C4" s="0" t="s">
        <v>17</v>
      </c>
      <c r="D4" s="0" t="s">
        <v>19</v>
      </c>
      <c r="E4" s="0" t="s">
        <v>17</v>
      </c>
      <c r="F4" s="0" t="s">
        <v>73</v>
      </c>
      <c r="G4" s="0" t="s">
        <v>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2026-01-10T17:38:09Z</dcterms:created>
  <dc:creator>openpyxl</dc:creator>
  <dc:description/>
  <dc:language>en-US</dc:language>
  <cp:lastModifiedBy/>
  <dcterms:modified xsi:type="dcterms:W3CDTF">2026-01-10T17:38:09Z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