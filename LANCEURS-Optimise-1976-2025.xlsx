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ceurs-1988" sheetId="1" state="visible" r:id="rId3"/>
    <sheet name="Lanceurs-1989" sheetId="2" state="visible" r:id="rId4"/>
    <sheet name="Lanceurs-1990" sheetId="3" state="visible" r:id="rId5"/>
    <sheet name="Lanceurs-1991" sheetId="4" state="visible" r:id="rId6"/>
    <sheet name="Lanceurs-1992" sheetId="5" state="visible" r:id="rId7"/>
    <sheet name="Lanceurs-1993" sheetId="6" state="visible" r:id="rId8"/>
    <sheet name="Lanceurs-1994" sheetId="7" state="visible" r:id="rId9"/>
    <sheet name="Lanceurs-1995" sheetId="8" state="visible" r:id="rId10"/>
    <sheet name="Lanceurs-1996" sheetId="9" state="visible" r:id="rId11"/>
    <sheet name="Lanceurs-1997" sheetId="10" state="visible" r:id="rId12"/>
    <sheet name="Lanceurs-1998" sheetId="11" state="visible" r:id="rId13"/>
    <sheet name="Lanceurs-1999" sheetId="12" state="visible" r:id="rId14"/>
    <sheet name="Lanceurs-2000" sheetId="13" state="visible" r:id="rId15"/>
    <sheet name="Lanceurs-2001" sheetId="14" state="visible" r:id="rId16"/>
    <sheet name="Lanceurs-2002" sheetId="15" state="visible" r:id="rId17"/>
    <sheet name="Lanceurs-2003" sheetId="16" state="visible" r:id="rId18"/>
    <sheet name="Lanceurs-2004" sheetId="17" state="visible" r:id="rId19"/>
    <sheet name="Lanceurs-2005" sheetId="18" state="visible" r:id="rId20"/>
    <sheet name="Lanceurs-2006" sheetId="19" state="visible" r:id="rId21"/>
    <sheet name="Lanceurs-2007" sheetId="20" state="visible" r:id="rId22"/>
    <sheet name="Lanceurs-2008" sheetId="21" state="visible" r:id="rId23"/>
    <sheet name="Lanceurs-2009" sheetId="22" state="visible" r:id="rId24"/>
    <sheet name="Lanceurs-2010" sheetId="23" state="visible" r:id="rId25"/>
    <sheet name="Lanceurs-2011" sheetId="24" state="visible" r:id="rId26"/>
    <sheet name="Lanceurs-2012" sheetId="25" state="visible" r:id="rId27"/>
    <sheet name="Lanceurs-2013" sheetId="26" state="visible" r:id="rId28"/>
    <sheet name="Lanceurs-2014" sheetId="27" state="visible" r:id="rId29"/>
    <sheet name="Lanceurs-2015" sheetId="28" state="visible" r:id="rId30"/>
    <sheet name="Lanceurs-2016" sheetId="29" state="visible" r:id="rId31"/>
    <sheet name="Lanceurs-2017" sheetId="30" state="visible" r:id="rId32"/>
    <sheet name="Lanceurs-2018" sheetId="31" state="visible" r:id="rId33"/>
    <sheet name="Lanceurs-2019" sheetId="32" state="visible" r:id="rId34"/>
    <sheet name="Lanceurs-2020" sheetId="33" state="visible" r:id="rId35"/>
    <sheet name="Lanceurs-2021" sheetId="34" state="visible" r:id="rId36"/>
    <sheet name="Lanceurs-2022" sheetId="35" state="visible" r:id="rId37"/>
    <sheet name="Lanceurs-2023" sheetId="36" state="visible" r:id="rId38"/>
    <sheet name="Lanceurs-2024" sheetId="37" state="visible" r:id="rId39"/>
    <sheet name="Lanceurs-2025" sheetId="38" state="visible" r:id="rId40"/>
    <sheet name="Lanceurs-1976-1987" sheetId="39" state="visible" r:id="rId4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<sst xmlns="http://schemas.openxmlformats.org/spreadsheetml/2006/main" count="1319" uniqueCount="223">
  <si>
    <t xml:space="preserve">Statistiques des Lanceurs - Saison 1988</t>
  </si>
  <si>
    <t xml:space="preserve">Rang</t>
  </si>
  <si>
    <t xml:space="preserve">Nom Complet</t>
  </si>
  <si>
    <t xml:space="preserve">Cote</t>
  </si>
  <si>
    <t xml:space="preserve">Équipe</t>
  </si>
  <si>
    <t xml:space="preserve">PL</t>
  </si>
  <si>
    <t xml:space="preserve">ML</t>
  </si>
  <si>
    <t xml:space="preserve">PC</t>
  </si>
  <si>
    <t xml:space="preserve">CS</t>
  </si>
  <si>
    <t xml:space="preserve">BB</t>
  </si>
  <si>
    <t xml:space="preserve">RB</t>
  </si>
  <si>
    <t xml:space="preserve">V</t>
  </si>
  <si>
    <t xml:space="preserve">D</t>
  </si>
  <si>
    <t xml:space="preserve">N</t>
  </si>
  <si>
    <t xml:space="preserve">MOY</t>
  </si>
  <si>
    <t xml:space="preserve">ROY, FRANÇOIS, VA</t>
  </si>
  <si>
    <t xml:space="preserve">A</t>
  </si>
  <si>
    <t xml:space="preserve">N/D</t>
  </si>
  <si>
    <t xml:space="preserve">MASSÉ, LUCIEN, ÉP</t>
  </si>
  <si>
    <t xml:space="preserve">MÉNARD, JEAN-CLAUDE, FA</t>
  </si>
  <si>
    <t xml:space="preserve">BUREAU, MICHEL, CO</t>
  </si>
  <si>
    <t xml:space="preserve">ISABELLE, ROBERT, AI</t>
  </si>
  <si>
    <t xml:space="preserve">Statistiques des Lanceurs - Saison 1989</t>
  </si>
  <si>
    <t xml:space="preserve">PARÉ, PIERRE, GD</t>
  </si>
  <si>
    <t xml:space="preserve">MÉNARD, JEAN-CLAUDE, CO</t>
  </si>
  <si>
    <t xml:space="preserve">CHAUSSÉ, SERGE, FA</t>
  </si>
  <si>
    <t xml:space="preserve">FORBES, MICHEL, FA/AI</t>
  </si>
  <si>
    <t xml:space="preserve">ISABELLE, ROBERT, ÉP</t>
  </si>
  <si>
    <t xml:space="preserve">Statistiques des Lanceurs - Saison 1990</t>
  </si>
  <si>
    <t xml:space="preserve">ROY, FRANÇOIS, AI</t>
  </si>
  <si>
    <t xml:space="preserve">WILSON, ROBERT, FA</t>
  </si>
  <si>
    <t xml:space="preserve">DANDURAND, GILLES, VA</t>
  </si>
  <si>
    <t xml:space="preserve">POULIN, RICHARD, ÉP</t>
  </si>
  <si>
    <t xml:space="preserve">DESJARDINS, ANDRÉ, ÉP</t>
  </si>
  <si>
    <t xml:space="preserve">Statistiques des Lanceurs - Saison 1991</t>
  </si>
  <si>
    <t xml:space="preserve">RICHARD, MAURICE JR, FA</t>
  </si>
  <si>
    <t xml:space="preserve">PARÉ, PIERRE, CO</t>
  </si>
  <si>
    <t xml:space="preserve">DANDURAND, GILLES, ÉP</t>
  </si>
  <si>
    <t xml:space="preserve">ROY, ROBERT, GD</t>
  </si>
  <si>
    <t xml:space="preserve">LÉPINE, JACQUES, CO</t>
  </si>
  <si>
    <t xml:space="preserve">FORBES, MICHEL, AI</t>
  </si>
  <si>
    <t xml:space="preserve">BEACON, ALLAN, GD</t>
  </si>
  <si>
    <t xml:space="preserve">Statistiques des Lanceurs - Saison 1992</t>
  </si>
  <si>
    <t xml:space="preserve">ROY, ROBERT, FA</t>
  </si>
  <si>
    <t xml:space="preserve">BRAULT, YVES, ÉP</t>
  </si>
  <si>
    <t xml:space="preserve">LÉPINE, JACQUES, GD</t>
  </si>
  <si>
    <t xml:space="preserve">PARÉ, PIERRE, AI</t>
  </si>
  <si>
    <t xml:space="preserve">CHAUSSÉ, SERGE, AI</t>
  </si>
  <si>
    <t xml:space="preserve">Statistiques des Lanceurs - Saison 1993</t>
  </si>
  <si>
    <t xml:space="preserve">DANDURAND, GILLES, AI</t>
  </si>
  <si>
    <t xml:space="preserve">LÉPINE, JACQUES, AL</t>
  </si>
  <si>
    <t xml:space="preserve">WILSON, ROBERT, GD</t>
  </si>
  <si>
    <t xml:space="preserve">BUREAU, MICHEL, ÉP</t>
  </si>
  <si>
    <t xml:space="preserve">DANDURAND, ANDRÉ, HA</t>
  </si>
  <si>
    <t xml:space="preserve">Statistiques des Lanceurs - Saison 1994</t>
  </si>
  <si>
    <t xml:space="preserve">LAFRENIÈRE, STÉPHANE, AL</t>
  </si>
  <si>
    <t xml:space="preserve">DANDURAND, ANDRÉ, CO</t>
  </si>
  <si>
    <t xml:space="preserve">POULIN, RICHARD, HA</t>
  </si>
  <si>
    <t xml:space="preserve">Statistiques des Lanceurs - Saison 1995</t>
  </si>
  <si>
    <t xml:space="preserve">DANDURAND, ANDRÉ, ÉP</t>
  </si>
  <si>
    <t xml:space="preserve">PARÉ, PIERRE, VA</t>
  </si>
  <si>
    <t xml:space="preserve">ROY, FRANÇOIS, AL</t>
  </si>
  <si>
    <t xml:space="preserve">LÉPINE, JACQUES, HA</t>
  </si>
  <si>
    <t xml:space="preserve">CHARTRAND, YVES, GD</t>
  </si>
  <si>
    <t xml:space="preserve">FORGUES, SYLVAIN, FA</t>
  </si>
  <si>
    <t xml:space="preserve">Statistiques des Lanceurs - Saison 1996</t>
  </si>
  <si>
    <t xml:space="preserve">Dandurand, André, FA</t>
  </si>
  <si>
    <t xml:space="preserve">135.6</t>
  </si>
  <si>
    <t xml:space="preserve">1.04</t>
  </si>
  <si>
    <t xml:space="preserve">Brodeur, Michel, ÉP</t>
  </si>
  <si>
    <t xml:space="preserve">1.07</t>
  </si>
  <si>
    <t xml:space="preserve">Paré, Pierre, HA</t>
  </si>
  <si>
    <t xml:space="preserve">139.6</t>
  </si>
  <si>
    <t xml:space="preserve">1.28</t>
  </si>
  <si>
    <t xml:space="preserve">Guilbault, Jacques, CO</t>
  </si>
  <si>
    <t xml:space="preserve">126.6</t>
  </si>
  <si>
    <t xml:space="preserve">1.33</t>
  </si>
  <si>
    <t xml:space="preserve">Robitaille, Raymond, AL</t>
  </si>
  <si>
    <t xml:space="preserve">1.49</t>
  </si>
  <si>
    <t xml:space="preserve">Isabelle, Robert, GD</t>
  </si>
  <si>
    <t xml:space="preserve">100.3</t>
  </si>
  <si>
    <t xml:space="preserve">Desjardins, André, AI</t>
  </si>
  <si>
    <t xml:space="preserve">96.6</t>
  </si>
  <si>
    <t xml:space="preserve">Forbes, Michel, VA</t>
  </si>
  <si>
    <t xml:space="preserve">71.3</t>
  </si>
  <si>
    <t xml:space="preserve">1.64</t>
  </si>
  <si>
    <t xml:space="preserve">Statistiques des Lanceurs - Saison 1997</t>
  </si>
  <si>
    <t xml:space="preserve">Desjardins, André, CO</t>
  </si>
  <si>
    <t xml:space="preserve">Paré, Pierre, VA</t>
  </si>
  <si>
    <t xml:space="preserve">Lépine, Jacques, AL</t>
  </si>
  <si>
    <t xml:space="preserve">Beacon, Allan, AI</t>
  </si>
  <si>
    <t xml:space="preserve">Forbes, Michel, HA</t>
  </si>
  <si>
    <t xml:space="preserve">Statistiques des Lanceurs - Saison 1998</t>
  </si>
  <si>
    <t xml:space="preserve">Forbes, Michel, GD</t>
  </si>
  <si>
    <t xml:space="preserve">Beacon, Allan, CO</t>
  </si>
  <si>
    <t xml:space="preserve">Lépine, Christian, ÉP</t>
  </si>
  <si>
    <t xml:space="preserve">Statistiques des Lanceurs - Saison 1999</t>
  </si>
  <si>
    <t xml:space="preserve">Dandurand, André, CO</t>
  </si>
  <si>
    <t xml:space="preserve">Brodeur, Michel, AL</t>
  </si>
  <si>
    <t xml:space="preserve">Poulin, Richard, AL</t>
  </si>
  <si>
    <t xml:space="preserve">64.2</t>
  </si>
  <si>
    <t xml:space="preserve">Wilson, Robert, HA</t>
  </si>
  <si>
    <t xml:space="preserve">Beacon, Allan, ÉP</t>
  </si>
  <si>
    <t xml:space="preserve">Forbes, Michel, FA</t>
  </si>
  <si>
    <t xml:space="preserve">Lépine, Jacques, GD</t>
  </si>
  <si>
    <t xml:space="preserve">Statistiques des Lanceurs - Saison 2000</t>
  </si>
  <si>
    <t xml:space="preserve">Wilson, Robert, CO</t>
  </si>
  <si>
    <t xml:space="preserve">Beacon, Allan, FA</t>
  </si>
  <si>
    <t xml:space="preserve">Beaudoin, Stéphane, AI</t>
  </si>
  <si>
    <t xml:space="preserve">Statistiques des Lanceurs - Saison 2001</t>
  </si>
  <si>
    <t xml:space="preserve">0,78</t>
  </si>
  <si>
    <t xml:space="preserve">Beaudoin, Stéphane, GD</t>
  </si>
  <si>
    <t xml:space="preserve">0,80</t>
  </si>
  <si>
    <t xml:space="preserve">1,17</t>
  </si>
  <si>
    <t xml:space="preserve">Wilson, Robert, AI</t>
  </si>
  <si>
    <t xml:space="preserve">1,22</t>
  </si>
  <si>
    <t xml:space="preserve">Lévesque, Gilles, AI</t>
  </si>
  <si>
    <t xml:space="preserve">1,25</t>
  </si>
  <si>
    <t xml:space="preserve">Poulin, Richard, CO</t>
  </si>
  <si>
    <t xml:space="preserve">1,73</t>
  </si>
  <si>
    <t xml:space="preserve">Statistiques des Lanceurs - Saison 2002</t>
  </si>
  <si>
    <t xml:space="preserve">Forbes, Michel, CO</t>
  </si>
  <si>
    <t xml:space="preserve">1,05</t>
  </si>
  <si>
    <t xml:space="preserve">1,19</t>
  </si>
  <si>
    <t xml:space="preserve">Poulin, Richard, ÉP</t>
  </si>
  <si>
    <t xml:space="preserve">1,29</t>
  </si>
  <si>
    <t xml:space="preserve">Larivière, Michel, VA</t>
  </si>
  <si>
    <t xml:space="preserve">1,30</t>
  </si>
  <si>
    <t xml:space="preserve">1,41</t>
  </si>
  <si>
    <t xml:space="preserve">1,42</t>
  </si>
  <si>
    <t xml:space="preserve">Statistiques des Lanceurs - Saison 2003</t>
  </si>
  <si>
    <t xml:space="preserve">1,20</t>
  </si>
  <si>
    <t xml:space="preserve">Beacon, Allan, GD</t>
  </si>
  <si>
    <t xml:space="preserve">1,21</t>
  </si>
  <si>
    <t xml:space="preserve">1,33</t>
  </si>
  <si>
    <t xml:space="preserve">Beaudoin, Stéphane, CO</t>
  </si>
  <si>
    <t xml:space="preserve">1,34</t>
  </si>
  <si>
    <t xml:space="preserve">Larivière, Michel, AI</t>
  </si>
  <si>
    <t xml:space="preserve">1,55</t>
  </si>
  <si>
    <t xml:space="preserve">Lépine, Jacques, FA</t>
  </si>
  <si>
    <t xml:space="preserve">1,62</t>
  </si>
  <si>
    <t xml:space="preserve">Statistiques des Lanceurs - Saison 2004</t>
  </si>
  <si>
    <t xml:space="preserve">Vézina, Éric, ÉP</t>
  </si>
  <si>
    <t xml:space="preserve">0,73</t>
  </si>
  <si>
    <t xml:space="preserve">Misischia, Gianni, AI</t>
  </si>
  <si>
    <t xml:space="preserve">1,24</t>
  </si>
  <si>
    <t xml:space="preserve">1,28</t>
  </si>
  <si>
    <t xml:space="preserve">Poulin, Richard, GD</t>
  </si>
  <si>
    <t xml:space="preserve">1,31</t>
  </si>
  <si>
    <t xml:space="preserve">Statistiques des Lanceurs - Saison 2005</t>
  </si>
  <si>
    <t xml:space="preserve">Beaudoin, Stéphane</t>
  </si>
  <si>
    <t xml:space="preserve">CO</t>
  </si>
  <si>
    <t xml:space="preserve">Forbes, Michel</t>
  </si>
  <si>
    <t xml:space="preserve">VA</t>
  </si>
  <si>
    <t xml:space="preserve">Vézina, Éric</t>
  </si>
  <si>
    <t xml:space="preserve">FA</t>
  </si>
  <si>
    <t xml:space="preserve">Beacon, Allan</t>
  </si>
  <si>
    <t xml:space="preserve">AI</t>
  </si>
  <si>
    <t xml:space="preserve">Misischia, Gianni</t>
  </si>
  <si>
    <t xml:space="preserve">GD</t>
  </si>
  <si>
    <t xml:space="preserve">Poulin, Richard</t>
  </si>
  <si>
    <t xml:space="preserve">ÉP</t>
  </si>
  <si>
    <t xml:space="preserve">Statistiques des Lanceurs - Saison 2006</t>
  </si>
  <si>
    <t xml:space="preserve">Lépine, Jacques</t>
  </si>
  <si>
    <t xml:space="preserve">Barrette, Denis</t>
  </si>
  <si>
    <t xml:space="preserve">Statistiques des Lanceurs - Saison 2007</t>
  </si>
  <si>
    <t xml:space="preserve">DU</t>
  </si>
  <si>
    <t xml:space="preserve">HA</t>
  </si>
  <si>
    <t xml:space="preserve">Chaussé, Serge</t>
  </si>
  <si>
    <t xml:space="preserve">Statistiques des Lanceurs - Saison 2008</t>
  </si>
  <si>
    <t xml:space="preserve">Lépine , Jacques</t>
  </si>
  <si>
    <t xml:space="preserve">Vézina, Mario</t>
  </si>
  <si>
    <t xml:space="preserve">Statistiques des Lanceurs - Saison 2009</t>
  </si>
  <si>
    <t xml:space="preserve">Van Houtte, Gérard</t>
  </si>
  <si>
    <t xml:space="preserve">Statistiques des Lanceurs - Saison 2010</t>
  </si>
  <si>
    <t xml:space="preserve">Larivière, Michel</t>
  </si>
  <si>
    <t xml:space="preserve">Statistiques des Lanceurs - Saison 2011</t>
  </si>
  <si>
    <t xml:space="preserve">Bonin, Pierre</t>
  </si>
  <si>
    <t xml:space="preserve">Statistiques des Lanceurs - Saison 2012</t>
  </si>
  <si>
    <t xml:space="preserve">Statistiques des Lanceurs - Saison 2013</t>
  </si>
  <si>
    <t xml:space="preserve">Stephens, Michel</t>
  </si>
  <si>
    <t xml:space="preserve">Statistiques des Lanceurs - Saison 2014</t>
  </si>
  <si>
    <t xml:space="preserve">Beaudry, Steve</t>
  </si>
  <si>
    <t xml:space="preserve">Statistiques des Lanceurs - Saison 2015</t>
  </si>
  <si>
    <t xml:space="preserve">Blouin, Patrick</t>
  </si>
  <si>
    <t xml:space="preserve">Boileau, Alain</t>
  </si>
  <si>
    <t xml:space="preserve">Statistiques des Lanceurs - Saison 2016</t>
  </si>
  <si>
    <t xml:space="preserve">Statistiques des Lanceurs - Saison 2017</t>
  </si>
  <si>
    <t xml:space="preserve">Santo, Joe</t>
  </si>
  <si>
    <t xml:space="preserve">Statistiques des Lanceurs - Saison 2018</t>
  </si>
  <si>
    <t xml:space="preserve">Proulx, Stéphane</t>
  </si>
  <si>
    <t xml:space="preserve">Statistiques des Lanceurs - Saison 2019</t>
  </si>
  <si>
    <t xml:space="preserve">Statistiques des Lanceurs - Saison 2020</t>
  </si>
  <si>
    <t xml:space="preserve">O'Reilly, Myles</t>
  </si>
  <si>
    <t xml:space="preserve">Statistiques des Lanceurs - Saison 2021</t>
  </si>
  <si>
    <t xml:space="preserve">Laverdière, Philippe</t>
  </si>
  <si>
    <t xml:space="preserve">Statistiques des Lanceurs - Saison 2022</t>
  </si>
  <si>
    <t xml:space="preserve">Noel, Jean-Christophe</t>
  </si>
  <si>
    <t xml:space="preserve">Forgues, Sylvain</t>
  </si>
  <si>
    <t xml:space="preserve">Garcia, Edgar</t>
  </si>
  <si>
    <t xml:space="preserve">Statistiques des Lanceurs - Saison 2023</t>
  </si>
  <si>
    <t xml:space="preserve">Statistiques des Lanceurs - Saison 2024</t>
  </si>
  <si>
    <t xml:space="preserve">St-Martin, André</t>
  </si>
  <si>
    <t xml:space="preserve">Jasmin-Riel, Danick</t>
  </si>
  <si>
    <t xml:space="preserve">Statistiques des Lanceurs - Saison 2025</t>
  </si>
  <si>
    <t xml:space="preserve">Statistiques des Lanceurs - 1976 à 1987 (Groupé)</t>
  </si>
  <si>
    <t xml:space="preserve">Nom</t>
  </si>
  <si>
    <t xml:space="preserve">Saisons</t>
  </si>
  <si>
    <t xml:space="preserve">BUREAU, MICHEL</t>
  </si>
  <si>
    <t xml:space="preserve">MÉNARD, JEAN-CLAUDE</t>
  </si>
  <si>
    <t xml:space="preserve">ROY, FRANÇOIS</t>
  </si>
  <si>
    <t xml:space="preserve">MASSÉ, LUCIEN</t>
  </si>
  <si>
    <t xml:space="preserve">ISABELLE, ROBERT</t>
  </si>
  <si>
    <t xml:space="preserve">POULIN, CLAUDE</t>
  </si>
  <si>
    <t xml:space="preserve">DESLANDES, PIERRE</t>
  </si>
  <si>
    <t xml:space="preserve">LANDRIGAN, DANNY</t>
  </si>
  <si>
    <t xml:space="preserve">POULIN, RICHARD</t>
  </si>
  <si>
    <t xml:space="preserve">WILSON, ROBERT</t>
  </si>
  <si>
    <t xml:space="preserve">ST-GEORGES, PAUL</t>
  </si>
  <si>
    <t xml:space="preserve">CHAUSSÉ, SERGE</t>
  </si>
  <si>
    <t xml:space="preserve">JOUBERT, ANDRÉ</t>
  </si>
  <si>
    <t xml:space="preserve">BLOUIN, PIERRE</t>
  </si>
  <si>
    <t xml:space="preserve">LÉVESQUE, GILLES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</si>
</sst>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5016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5016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D50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</v>
      </c>
      <c r="C4" s="0" t="s">
        <v>16</v>
      </c>
      <c r="D4" s="0" t="n">
        <v>105</v>
      </c>
      <c r="E4" s="0" t="n">
        <v>105</v>
      </c>
      <c r="F4" s="0" t="s">
        <v>17</v>
      </c>
      <c r="G4" s="0" t="n">
        <v>14</v>
      </c>
      <c r="H4" s="0" t="n">
        <v>40</v>
      </c>
      <c r="I4" s="0" t="n">
        <v>12</v>
      </c>
      <c r="J4" s="0" t="n">
        <v>2</v>
      </c>
      <c r="K4" s="0" t="n">
        <v>1</v>
      </c>
      <c r="L4" s="0" t="n">
        <f aca="false">H6/G6</f>
        <v>1.83333333333333</v>
      </c>
      <c r="N4" s="0" t="n">
        <f aca="false">IF((K4+L4)&gt;0,ROUND(K4/(K4+L4),3),0)</f>
        <v>0.353</v>
      </c>
    </row>
    <row r="5" customFormat="false" ht="15" hidden="false" customHeight="false" outlineLevel="0" collapsed="false">
      <c r="A5" s="0" t="n">
        <v>2</v>
      </c>
      <c r="B5" s="0" t="s">
        <v>18</v>
      </c>
      <c r="C5" s="0" t="s">
        <v>16</v>
      </c>
      <c r="D5" s="0" t="n">
        <v>101.3</v>
      </c>
      <c r="E5" s="0" t="n">
        <v>119</v>
      </c>
      <c r="F5" s="0" t="s">
        <v>17</v>
      </c>
      <c r="G5" s="0" t="n">
        <v>27</v>
      </c>
      <c r="H5" s="0" t="n">
        <v>21</v>
      </c>
      <c r="I5" s="0" t="n">
        <v>10</v>
      </c>
      <c r="J5" s="0" t="n">
        <v>6</v>
      </c>
      <c r="K5" s="0" t="n">
        <v>2</v>
      </c>
      <c r="L5" s="0" t="n">
        <f aca="false">H7/G7</f>
        <v>0.545454545454545</v>
      </c>
      <c r="N5" s="0" t="n">
        <f aca="false">IF((K5+L5)&gt;0,ROUND(K5/(K5+L5),3),0)</f>
        <v>0.786</v>
      </c>
    </row>
    <row r="6" customFormat="false" ht="15" hidden="false" customHeight="false" outlineLevel="0" collapsed="false">
      <c r="A6" s="0" t="n">
        <v>3</v>
      </c>
      <c r="B6" s="0" t="s">
        <v>19</v>
      </c>
      <c r="C6" s="0" t="s">
        <v>16</v>
      </c>
      <c r="D6" s="0" t="n">
        <v>106.6</v>
      </c>
      <c r="E6" s="0" t="n">
        <v>129</v>
      </c>
      <c r="F6" s="0" t="s">
        <v>17</v>
      </c>
      <c r="G6" s="0" t="n">
        <v>12</v>
      </c>
      <c r="H6" s="0" t="n">
        <v>22</v>
      </c>
      <c r="I6" s="0" t="n">
        <v>9</v>
      </c>
      <c r="J6" s="0" t="n">
        <v>7</v>
      </c>
      <c r="K6" s="0" t="n">
        <v>0</v>
      </c>
      <c r="L6" s="0" t="n">
        <f aca="false">H8/G8</f>
        <v>0.928571428571429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20</v>
      </c>
      <c r="C7" s="0" t="s">
        <v>16</v>
      </c>
      <c r="D7" s="0" t="n">
        <v>134</v>
      </c>
      <c r="E7" s="0" t="n">
        <v>182</v>
      </c>
      <c r="F7" s="0" t="s">
        <v>17</v>
      </c>
      <c r="G7" s="0" t="n">
        <v>77</v>
      </c>
      <c r="H7" s="0" t="n">
        <v>42</v>
      </c>
      <c r="I7" s="0" t="n">
        <v>8</v>
      </c>
      <c r="J7" s="0" t="n">
        <v>12</v>
      </c>
      <c r="K7" s="0" t="n">
        <v>3</v>
      </c>
      <c r="L7" s="0" t="e">
        <f aca="false">H9/G9</f>
        <v>#DIV/0!</v>
      </c>
      <c r="N7" s="0" t="e">
        <f aca="false">IF((K7+L7)&gt;0,ROUND(K7/(K7+L7),3),0)</f>
        <v>#DIV/0!</v>
      </c>
    </row>
    <row r="8" customFormat="false" ht="15" hidden="false" customHeight="false" outlineLevel="0" collapsed="false">
      <c r="A8" s="0" t="n">
        <v>5</v>
      </c>
      <c r="B8" s="0" t="s">
        <v>21</v>
      </c>
      <c r="C8" s="0" t="s">
        <v>16</v>
      </c>
      <c r="D8" s="0" t="n">
        <v>103</v>
      </c>
      <c r="E8" s="0" t="n">
        <v>190</v>
      </c>
      <c r="F8" s="0" t="s">
        <v>17</v>
      </c>
      <c r="G8" s="0" t="n">
        <v>28</v>
      </c>
      <c r="H8" s="0" t="n">
        <v>26</v>
      </c>
      <c r="I8" s="0" t="n">
        <v>4</v>
      </c>
      <c r="J8" s="0" t="n">
        <v>13</v>
      </c>
      <c r="K8" s="0" t="n">
        <v>0</v>
      </c>
      <c r="L8" s="0" t="e">
        <f aca="false">H10/G10</f>
        <v>#DIV/0!</v>
      </c>
      <c r="N8" s="0" t="e">
        <f aca="false">IF((K8+L8)&gt;0,ROUND(K8/(K8+L8),3),0)</f>
        <v>#DIV/0!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23</v>
      </c>
      <c r="C4" s="0" t="s">
        <v>16</v>
      </c>
      <c r="D4" s="0" t="n">
        <v>114.6</v>
      </c>
      <c r="E4" s="0" t="n">
        <v>111</v>
      </c>
      <c r="F4" s="0" t="s">
        <v>17</v>
      </c>
      <c r="G4" s="0" t="n">
        <v>68</v>
      </c>
      <c r="H4" s="0" t="n">
        <v>62</v>
      </c>
      <c r="I4" s="0" t="n">
        <v>16</v>
      </c>
      <c r="J4" s="0" t="n">
        <v>3</v>
      </c>
      <c r="K4" s="0" t="n">
        <v>0</v>
      </c>
      <c r="L4" s="0" t="n">
        <v>0.968586387434555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15</v>
      </c>
      <c r="C5" s="0" t="s">
        <v>16</v>
      </c>
      <c r="D5" s="0" t="n">
        <v>115</v>
      </c>
      <c r="E5" s="0" t="n">
        <v>137</v>
      </c>
      <c r="F5" s="0" t="s">
        <v>17</v>
      </c>
      <c r="G5" s="0" t="n">
        <v>21</v>
      </c>
      <c r="H5" s="0" t="n">
        <v>37</v>
      </c>
      <c r="I5" s="0" t="n">
        <v>5</v>
      </c>
      <c r="J5" s="0" t="n">
        <v>12</v>
      </c>
      <c r="K5" s="0" t="n">
        <v>1</v>
      </c>
      <c r="L5" s="0" t="n">
        <v>1.19130434782609</v>
      </c>
      <c r="N5" s="0" t="n">
        <f aca="false">IF((K5+L5)&gt;0,ROUND(K5/(K5+L5),3),0)</f>
        <v>0.456</v>
      </c>
    </row>
    <row r="6" customFormat="false" ht="15" hidden="false" customHeight="false" outlineLevel="0" collapsed="false">
      <c r="A6" s="0" t="n">
        <v>3</v>
      </c>
      <c r="B6" s="0" t="s">
        <v>24</v>
      </c>
      <c r="C6" s="0" t="s">
        <v>16</v>
      </c>
      <c r="D6" s="0" t="n">
        <v>118.3</v>
      </c>
      <c r="E6" s="0" t="n">
        <v>156</v>
      </c>
      <c r="F6" s="0" t="s">
        <v>17</v>
      </c>
      <c r="G6" s="0" t="n">
        <v>12</v>
      </c>
      <c r="H6" s="0" t="n">
        <v>20</v>
      </c>
      <c r="I6" s="0" t="n">
        <v>13</v>
      </c>
      <c r="J6" s="0" t="n">
        <v>5</v>
      </c>
      <c r="K6" s="0" t="n">
        <v>0</v>
      </c>
      <c r="L6" s="0" t="n">
        <v>1.31868131868132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25</v>
      </c>
      <c r="C7" s="0" t="s">
        <v>16</v>
      </c>
      <c r="D7" s="0" t="n">
        <v>101</v>
      </c>
      <c r="E7" s="0" t="n">
        <v>134</v>
      </c>
      <c r="F7" s="0" t="s">
        <v>17</v>
      </c>
      <c r="G7" s="0" t="n">
        <v>94</v>
      </c>
      <c r="H7" s="0" t="n">
        <v>25</v>
      </c>
      <c r="I7" s="0" t="n">
        <v>7</v>
      </c>
      <c r="J7" s="0" t="n">
        <v>9</v>
      </c>
      <c r="K7" s="0" t="n">
        <v>1</v>
      </c>
      <c r="L7" s="0" t="n">
        <v>1.32673267326733</v>
      </c>
      <c r="N7" s="0" t="n">
        <f aca="false">IF((K7+L7)&gt;0,ROUND(K7/(K7+L7),3),0)</f>
        <v>0.43</v>
      </c>
    </row>
    <row r="8" customFormat="false" ht="15" hidden="false" customHeight="false" outlineLevel="0" collapsed="false">
      <c r="A8" s="0" t="n">
        <v>5</v>
      </c>
      <c r="B8" s="0" t="s">
        <v>26</v>
      </c>
      <c r="C8" s="0" t="s">
        <v>16</v>
      </c>
      <c r="D8" s="0" t="n">
        <v>94</v>
      </c>
      <c r="E8" s="0" t="n">
        <v>133</v>
      </c>
      <c r="F8" s="0" t="s">
        <v>17</v>
      </c>
      <c r="G8" s="0" t="n">
        <v>69</v>
      </c>
      <c r="H8" s="0" t="n">
        <v>52</v>
      </c>
      <c r="I8" s="0" t="n">
        <v>7</v>
      </c>
      <c r="J8" s="0" t="n">
        <v>9</v>
      </c>
      <c r="K8" s="0" t="n">
        <v>1</v>
      </c>
      <c r="L8" s="0" t="n">
        <v>1.41489361702128</v>
      </c>
      <c r="N8" s="0" t="n">
        <f aca="false">IF((K8+L8)&gt;0,ROUND(K8/(K8+L8),3),0)</f>
        <v>0.414</v>
      </c>
    </row>
    <row r="9" customFormat="false" ht="15" hidden="false" customHeight="false" outlineLevel="0" collapsed="false">
      <c r="A9" s="0" t="n">
        <v>6</v>
      </c>
      <c r="B9" s="0" t="s">
        <v>27</v>
      </c>
      <c r="C9" s="0" t="s">
        <v>16</v>
      </c>
      <c r="D9" s="0" t="n">
        <v>101.6</v>
      </c>
      <c r="E9" s="0" t="n">
        <v>149</v>
      </c>
      <c r="F9" s="0" t="s">
        <v>17</v>
      </c>
      <c r="G9" s="0" t="n">
        <v>32</v>
      </c>
      <c r="H9" s="0" t="n">
        <v>19</v>
      </c>
      <c r="I9" s="0" t="n">
        <v>8</v>
      </c>
      <c r="J9" s="0" t="n">
        <v>8</v>
      </c>
      <c r="K9" s="0" t="n">
        <v>1</v>
      </c>
      <c r="L9" s="0" t="n">
        <v>1.46653543307087</v>
      </c>
      <c r="N9" s="0" t="n">
        <f aca="false">IF((K9+L9)&gt;0,ROUND(K9/(K9+L9),3),0)</f>
        <v>0.405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29</v>
      </c>
      <c r="C4" s="0" t="s">
        <v>16</v>
      </c>
      <c r="D4" s="0" t="n">
        <v>123.6</v>
      </c>
      <c r="E4" s="0" t="n">
        <v>120</v>
      </c>
      <c r="F4" s="0" t="s">
        <v>17</v>
      </c>
      <c r="G4" s="0" t="n">
        <v>14</v>
      </c>
      <c r="H4" s="0" t="n">
        <v>27</v>
      </c>
      <c r="I4" s="0" t="n">
        <v>15</v>
      </c>
      <c r="J4" s="0" t="n">
        <v>6</v>
      </c>
      <c r="K4" s="0" t="n">
        <v>0</v>
      </c>
      <c r="L4" s="0" t="n">
        <v>0.970873786407767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30</v>
      </c>
      <c r="C5" s="0" t="s">
        <v>16</v>
      </c>
      <c r="D5" s="0" t="n">
        <v>71.6</v>
      </c>
      <c r="E5" s="0" t="n">
        <v>86</v>
      </c>
      <c r="F5" s="0" t="s">
        <v>17</v>
      </c>
      <c r="G5" s="0" t="n">
        <v>29</v>
      </c>
      <c r="H5" s="0" t="n">
        <v>27</v>
      </c>
      <c r="I5" s="0" t="n">
        <v>5</v>
      </c>
      <c r="J5" s="0" t="n">
        <v>5</v>
      </c>
      <c r="K5" s="0" t="n">
        <v>1</v>
      </c>
      <c r="L5" s="0" t="n">
        <v>1.20111731843575</v>
      </c>
      <c r="N5" s="0" t="n">
        <f aca="false">IF((K5+L5)&gt;0,ROUND(K5/(K5+L5),3),0)</f>
        <v>0.454</v>
      </c>
    </row>
    <row r="6" customFormat="false" ht="15" hidden="false" customHeight="false" outlineLevel="0" collapsed="false">
      <c r="A6" s="0" t="n">
        <v>3</v>
      </c>
      <c r="B6" s="0" t="s">
        <v>31</v>
      </c>
      <c r="C6" s="0" t="s">
        <v>16</v>
      </c>
      <c r="D6" s="0" t="n">
        <v>69</v>
      </c>
      <c r="E6" s="0" t="n">
        <v>89</v>
      </c>
      <c r="F6" s="0" t="s">
        <v>17</v>
      </c>
      <c r="G6" s="0" t="n">
        <v>26</v>
      </c>
      <c r="H6" s="0" t="n">
        <v>12</v>
      </c>
      <c r="I6" s="0" t="n">
        <v>5</v>
      </c>
      <c r="J6" s="0" t="n">
        <v>5</v>
      </c>
      <c r="K6" s="0" t="n">
        <v>0</v>
      </c>
      <c r="L6" s="0" t="n">
        <v>1.28985507246377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23</v>
      </c>
      <c r="C7" s="0" t="s">
        <v>16</v>
      </c>
      <c r="D7" s="0" t="n">
        <v>108.3</v>
      </c>
      <c r="E7" s="0" t="n">
        <v>148</v>
      </c>
      <c r="F7" s="0" t="s">
        <v>17</v>
      </c>
      <c r="G7" s="0" t="n">
        <v>87</v>
      </c>
      <c r="H7" s="0" t="n">
        <v>58</v>
      </c>
      <c r="I7" s="0" t="n">
        <v>12</v>
      </c>
      <c r="J7" s="0" t="n">
        <v>5</v>
      </c>
      <c r="K7" s="0" t="n">
        <v>1</v>
      </c>
      <c r="L7" s="0" t="n">
        <v>1.36657433056325</v>
      </c>
      <c r="N7" s="0" t="n">
        <f aca="false">IF((K7+L7)&gt;0,ROUND(K7/(K7+L7),3),0)</f>
        <v>0.423</v>
      </c>
    </row>
    <row r="8" customFormat="false" ht="15" hidden="false" customHeight="false" outlineLevel="0" collapsed="false">
      <c r="A8" s="0" t="n">
        <v>5</v>
      </c>
      <c r="B8" s="0" t="s">
        <v>32</v>
      </c>
      <c r="C8" s="0" t="s">
        <v>16</v>
      </c>
      <c r="D8" s="0" t="n">
        <v>85.6</v>
      </c>
      <c r="E8" s="0" t="n">
        <v>119</v>
      </c>
      <c r="F8" s="0" t="s">
        <v>17</v>
      </c>
      <c r="G8" s="0" t="n">
        <v>25</v>
      </c>
      <c r="H8" s="0" t="n">
        <v>5</v>
      </c>
      <c r="I8" s="0" t="n">
        <v>6</v>
      </c>
      <c r="J8" s="0" t="n">
        <v>5</v>
      </c>
      <c r="K8" s="0" t="n">
        <v>0</v>
      </c>
      <c r="L8" s="0" t="n">
        <v>1.39018691588785</v>
      </c>
      <c r="N8" s="0" t="n">
        <f aca="false">IF((K8+L8)&gt;0,ROUND(K8/(K8+L8),3),0)</f>
        <v>0</v>
      </c>
    </row>
    <row r="9" customFormat="false" ht="15" hidden="false" customHeight="false" outlineLevel="0" collapsed="false">
      <c r="A9" s="0" t="n">
        <v>6</v>
      </c>
      <c r="B9" s="0" t="s">
        <v>24</v>
      </c>
      <c r="C9" s="0" t="s">
        <v>16</v>
      </c>
      <c r="D9" s="0" t="n">
        <v>61</v>
      </c>
      <c r="E9" s="0" t="n">
        <v>85</v>
      </c>
      <c r="F9" s="0" t="s">
        <v>17</v>
      </c>
      <c r="G9" s="0" t="n">
        <v>6</v>
      </c>
      <c r="H9" s="0" t="n">
        <v>8</v>
      </c>
      <c r="I9" s="0" t="n">
        <v>5</v>
      </c>
      <c r="J9" s="0" t="n">
        <v>4</v>
      </c>
      <c r="K9" s="0" t="n">
        <v>0</v>
      </c>
      <c r="L9" s="0" t="n">
        <v>1.39344262295082</v>
      </c>
      <c r="N9" s="0" t="n">
        <f aca="false">IF((K9+L9)&gt;0,ROUND(K9/(K9+L9),3),0)</f>
        <v>0</v>
      </c>
    </row>
    <row r="10" customFormat="false" ht="15" hidden="false" customHeight="false" outlineLevel="0" collapsed="false">
      <c r="A10" s="0" t="n">
        <v>7</v>
      </c>
      <c r="B10" s="0" t="s">
        <v>33</v>
      </c>
      <c r="C10" s="0" t="s">
        <v>16</v>
      </c>
      <c r="D10" s="0" t="n">
        <v>63.3</v>
      </c>
      <c r="E10" s="0" t="n">
        <v>104</v>
      </c>
      <c r="F10" s="0" t="s">
        <v>17</v>
      </c>
      <c r="G10" s="0" t="n">
        <v>49</v>
      </c>
      <c r="H10" s="0" t="n">
        <v>27</v>
      </c>
      <c r="I10" s="0" t="n">
        <v>5</v>
      </c>
      <c r="J10" s="0" t="n">
        <v>7</v>
      </c>
      <c r="K10" s="0" t="n">
        <v>1</v>
      </c>
      <c r="L10" s="0" t="n">
        <v>1.64296998420221</v>
      </c>
      <c r="N10" s="0" t="n">
        <f aca="false">IF((K10+L10)&gt;0,ROUND(K10/(K10+L10),3),0)</f>
        <v>0.378</v>
      </c>
    </row>
    <row r="11" customFormat="false" ht="15" hidden="false" customHeight="false" outlineLevel="0" collapsed="false">
      <c r="A11" s="0" t="n">
        <v>8</v>
      </c>
      <c r="B11" s="0" t="s">
        <v>25</v>
      </c>
      <c r="C11" s="0" t="s">
        <v>16</v>
      </c>
      <c r="D11" s="0" t="n">
        <v>74.6</v>
      </c>
      <c r="E11" s="0" t="n">
        <v>160</v>
      </c>
      <c r="F11" s="0" t="s">
        <v>17</v>
      </c>
      <c r="G11" s="0" t="n">
        <v>67</v>
      </c>
      <c r="H11" s="0" t="n">
        <v>18</v>
      </c>
      <c r="I11" s="0" t="n">
        <v>1</v>
      </c>
      <c r="J11" s="0" t="n">
        <v>15</v>
      </c>
      <c r="K11" s="0" t="n">
        <v>0</v>
      </c>
      <c r="L11" s="0" t="n">
        <v>2.14477211796247</v>
      </c>
      <c r="N11" s="0" t="n">
        <f aca="false">IF((K11+L11)&gt;0,ROUND(K11/(K11+L11),3),0)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</v>
      </c>
      <c r="C4" s="0" t="s">
        <v>16</v>
      </c>
      <c r="D4" s="0" t="n">
        <v>144</v>
      </c>
      <c r="E4" s="0" t="n">
        <v>123</v>
      </c>
      <c r="F4" s="0" t="s">
        <v>17</v>
      </c>
      <c r="G4" s="0" t="n">
        <v>31</v>
      </c>
      <c r="H4" s="0" t="n">
        <v>25</v>
      </c>
      <c r="I4" s="0" t="n">
        <v>18</v>
      </c>
      <c r="J4" s="0" t="n">
        <v>3</v>
      </c>
      <c r="K4" s="0" t="n">
        <v>0</v>
      </c>
      <c r="L4" s="0" t="n">
        <v>0.854166666666667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35</v>
      </c>
      <c r="C5" s="0" t="s">
        <v>16</v>
      </c>
      <c r="D5" s="0" t="n">
        <v>74</v>
      </c>
      <c r="E5" s="0" t="n">
        <v>77</v>
      </c>
      <c r="F5" s="0" t="s">
        <v>17</v>
      </c>
      <c r="G5" s="0" t="n">
        <v>54</v>
      </c>
      <c r="H5" s="0" t="n">
        <v>70</v>
      </c>
      <c r="I5" s="0" t="n">
        <v>6</v>
      </c>
      <c r="J5" s="0" t="n">
        <v>4</v>
      </c>
      <c r="K5" s="0" t="n">
        <v>2</v>
      </c>
      <c r="L5" s="0" t="n">
        <v>1.04054054054054</v>
      </c>
      <c r="N5" s="0" t="n">
        <f aca="false">IF((K5+L5)&gt;0,ROUND(K5/(K5+L5),3),0)</f>
        <v>0.658</v>
      </c>
    </row>
    <row r="6" customFormat="false" ht="15" hidden="false" customHeight="false" outlineLevel="0" collapsed="false">
      <c r="A6" s="0" t="n">
        <v>3</v>
      </c>
      <c r="B6" s="0" t="s">
        <v>36</v>
      </c>
      <c r="C6" s="0" t="s">
        <v>16</v>
      </c>
      <c r="D6" s="0" t="n">
        <v>49</v>
      </c>
      <c r="E6" s="0" t="n">
        <v>60</v>
      </c>
      <c r="F6" s="0" t="s">
        <v>17</v>
      </c>
      <c r="G6" s="0" t="n">
        <v>29</v>
      </c>
      <c r="H6" s="0" t="n">
        <v>27</v>
      </c>
      <c r="I6" s="0" t="n">
        <v>1</v>
      </c>
      <c r="J6" s="0" t="n">
        <v>6</v>
      </c>
      <c r="K6" s="0" t="n">
        <v>0</v>
      </c>
      <c r="L6" s="0" t="n">
        <v>1.22448979591837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37</v>
      </c>
      <c r="C7" s="0" t="s">
        <v>16</v>
      </c>
      <c r="D7" s="0" t="n">
        <v>64</v>
      </c>
      <c r="E7" s="0" t="n">
        <v>85</v>
      </c>
      <c r="F7" s="0" t="s">
        <v>17</v>
      </c>
      <c r="G7" s="0" t="n">
        <v>15</v>
      </c>
      <c r="H7" s="0" t="n">
        <v>18</v>
      </c>
      <c r="I7" s="0" t="n">
        <v>5</v>
      </c>
      <c r="J7" s="0" t="n">
        <v>6</v>
      </c>
      <c r="K7" s="0" t="n">
        <v>0</v>
      </c>
      <c r="L7" s="0" t="n">
        <v>1.328125</v>
      </c>
      <c r="N7" s="0" t="n">
        <f aca="false">IF((K7+L7)&gt;0,ROUND(K7/(K7+L7),3),0)</f>
        <v>0</v>
      </c>
    </row>
    <row r="8" customFormat="false" ht="15" hidden="false" customHeight="false" outlineLevel="0" collapsed="false">
      <c r="A8" s="0" t="n">
        <v>5</v>
      </c>
      <c r="B8" s="0" t="s">
        <v>38</v>
      </c>
      <c r="C8" s="0" t="s">
        <v>16</v>
      </c>
      <c r="D8" s="0" t="n">
        <v>79</v>
      </c>
      <c r="E8" s="0" t="n">
        <v>106</v>
      </c>
      <c r="F8" s="0" t="s">
        <v>17</v>
      </c>
      <c r="G8" s="0" t="n">
        <v>27</v>
      </c>
      <c r="H8" s="0" t="n">
        <v>31</v>
      </c>
      <c r="I8" s="0" t="n">
        <v>4</v>
      </c>
      <c r="J8" s="0" t="n">
        <v>9</v>
      </c>
      <c r="K8" s="0" t="n">
        <v>0</v>
      </c>
      <c r="L8" s="0" t="n">
        <v>1.34177215189873</v>
      </c>
      <c r="N8" s="0" t="n">
        <f aca="false">IF((K8+L8)&gt;0,ROUND(K8/(K8+L8),3),0)</f>
        <v>0</v>
      </c>
    </row>
    <row r="9" customFormat="false" ht="15" hidden="false" customHeight="false" outlineLevel="0" collapsed="false">
      <c r="A9" s="0" t="n">
        <v>6</v>
      </c>
      <c r="B9" s="0" t="s">
        <v>39</v>
      </c>
      <c r="C9" s="0" t="s">
        <v>16</v>
      </c>
      <c r="D9" s="0" t="n">
        <v>96.6</v>
      </c>
      <c r="E9" s="0" t="n">
        <v>139</v>
      </c>
      <c r="F9" s="0" t="s">
        <v>17</v>
      </c>
      <c r="G9" s="0" t="n">
        <v>54</v>
      </c>
      <c r="H9" s="0" t="n">
        <v>61</v>
      </c>
      <c r="I9" s="0" t="n">
        <v>10</v>
      </c>
      <c r="J9" s="0" t="n">
        <v>8</v>
      </c>
      <c r="K9" s="0" t="n">
        <v>0</v>
      </c>
      <c r="L9" s="0" t="n">
        <v>1.43892339544514</v>
      </c>
      <c r="N9" s="0" t="n">
        <f aca="false">IF((K9+L9)&gt;0,ROUND(K9/(K9+L9),3),0)</f>
        <v>0</v>
      </c>
    </row>
    <row r="10" customFormat="false" ht="15" hidden="false" customHeight="false" outlineLevel="0" collapsed="false">
      <c r="A10" s="0" t="n">
        <v>7</v>
      </c>
      <c r="B10" s="0" t="s">
        <v>40</v>
      </c>
      <c r="C10" s="0" t="s">
        <v>16</v>
      </c>
      <c r="D10" s="0" t="n">
        <v>128</v>
      </c>
      <c r="E10" s="0" t="n">
        <v>187</v>
      </c>
      <c r="F10" s="0" t="s">
        <v>17</v>
      </c>
      <c r="G10" s="0" t="n">
        <v>75</v>
      </c>
      <c r="H10" s="0" t="n">
        <v>41</v>
      </c>
      <c r="I10" s="0" t="n">
        <v>9</v>
      </c>
      <c r="J10" s="0" t="n">
        <v>8</v>
      </c>
      <c r="K10" s="0" t="n">
        <v>3</v>
      </c>
      <c r="L10" s="0" t="n">
        <v>1.4609375</v>
      </c>
      <c r="N10" s="0" t="n">
        <f aca="false">IF((K10+L10)&gt;0,ROUND(K10/(K10+L10),3),0)</f>
        <v>0.673</v>
      </c>
    </row>
    <row r="11" customFormat="false" ht="15" hidden="false" customHeight="false" outlineLevel="0" collapsed="false">
      <c r="A11" s="0" t="n">
        <v>8</v>
      </c>
      <c r="B11" s="0" t="s">
        <v>41</v>
      </c>
      <c r="C11" s="0" t="s">
        <v>16</v>
      </c>
      <c r="D11" s="0" t="n">
        <v>78</v>
      </c>
      <c r="E11" s="0" t="n">
        <v>132</v>
      </c>
      <c r="F11" s="0" t="s">
        <v>17</v>
      </c>
      <c r="G11" s="0" t="n">
        <v>36</v>
      </c>
      <c r="H11" s="0" t="n">
        <v>14</v>
      </c>
      <c r="I11" s="0" t="n">
        <v>4</v>
      </c>
      <c r="J11" s="0" t="n">
        <v>8</v>
      </c>
      <c r="K11" s="0" t="n">
        <v>0</v>
      </c>
      <c r="L11" s="0" t="n">
        <v>1.69230769230769</v>
      </c>
      <c r="N11" s="0" t="n">
        <f aca="false">IF((K11+L11)&gt;0,ROUND(K11/(K11+L11),3),0)</f>
        <v>0</v>
      </c>
    </row>
    <row r="12" customFormat="false" ht="15" hidden="false" customHeight="false" outlineLevel="0" collapsed="false">
      <c r="A12" s="0" t="n">
        <v>9</v>
      </c>
      <c r="B12" s="0" t="s">
        <v>32</v>
      </c>
      <c r="C12" s="0" t="s">
        <v>16</v>
      </c>
      <c r="D12" s="0" t="n">
        <v>67</v>
      </c>
      <c r="E12" s="0" t="n">
        <v>121</v>
      </c>
      <c r="F12" s="0" t="s">
        <v>17</v>
      </c>
      <c r="G12" s="0" t="n">
        <v>31</v>
      </c>
      <c r="H12" s="0" t="n">
        <v>14</v>
      </c>
      <c r="I12" s="0" t="n">
        <v>3</v>
      </c>
      <c r="J12" s="0" t="n">
        <v>6</v>
      </c>
      <c r="K12" s="0" t="n">
        <v>1</v>
      </c>
      <c r="L12" s="0" t="n">
        <v>1.80597014925373</v>
      </c>
      <c r="N12" s="0" t="n">
        <f aca="false">IF((K12+L12)&gt;0,ROUND(K12/(K12+L12),3),0)</f>
        <v>0.356</v>
      </c>
    </row>
    <row r="13" customFormat="false" ht="15" hidden="false" customHeight="false" outlineLevel="0" collapsed="false">
      <c r="A13" s="0" t="n">
        <v>10</v>
      </c>
      <c r="B13" s="0" t="s">
        <v>25</v>
      </c>
      <c r="C13" s="0" t="s">
        <v>16</v>
      </c>
      <c r="D13" s="0" t="n">
        <v>67.3</v>
      </c>
      <c r="E13" s="0" t="n">
        <v>124</v>
      </c>
      <c r="F13" s="0" t="s">
        <v>17</v>
      </c>
      <c r="G13" s="0" t="n">
        <v>71</v>
      </c>
      <c r="H13" s="0" t="n">
        <v>23</v>
      </c>
      <c r="I13" s="0" t="n">
        <v>6</v>
      </c>
      <c r="J13" s="0" t="n">
        <v>4</v>
      </c>
      <c r="K13" s="0" t="n">
        <v>1</v>
      </c>
      <c r="L13" s="0" t="n">
        <v>1.84249628528975</v>
      </c>
      <c r="N13" s="0" t="n">
        <f aca="false">IF((K13+L13)&gt;0,ROUND(K13/(K13+L13),3),0)</f>
        <v>0.352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43</v>
      </c>
      <c r="C4" s="0" t="s">
        <v>16</v>
      </c>
      <c r="D4" s="0" t="n">
        <v>118</v>
      </c>
      <c r="E4" s="0" t="n">
        <v>89</v>
      </c>
      <c r="F4" s="0" t="s">
        <v>17</v>
      </c>
      <c r="G4" s="0" t="n">
        <v>32</v>
      </c>
      <c r="H4" s="0" t="n">
        <v>41</v>
      </c>
      <c r="I4" s="0" t="n">
        <v>15</v>
      </c>
      <c r="J4" s="0" t="n">
        <v>3</v>
      </c>
      <c r="K4" s="0" t="n">
        <v>0</v>
      </c>
      <c r="L4" s="0" t="n">
        <v>0.754237288135593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15</v>
      </c>
      <c r="C5" s="0" t="s">
        <v>16</v>
      </c>
      <c r="D5" s="0" t="n">
        <v>144.3</v>
      </c>
      <c r="E5" s="0" t="n">
        <v>139</v>
      </c>
      <c r="F5" s="0" t="s">
        <v>17</v>
      </c>
      <c r="G5" s="0" t="n">
        <v>30</v>
      </c>
      <c r="H5" s="0" t="n">
        <v>42</v>
      </c>
      <c r="I5" s="0" t="n">
        <v>14</v>
      </c>
      <c r="J5" s="0" t="n">
        <v>6</v>
      </c>
      <c r="K5" s="0" t="n">
        <v>1</v>
      </c>
      <c r="L5" s="0" t="n">
        <v>0.963270963270963</v>
      </c>
      <c r="N5" s="0" t="n">
        <f aca="false">IF((K5+L5)&gt;0,ROUND(K5/(K5+L5),3),0)</f>
        <v>0.509</v>
      </c>
    </row>
    <row r="6" customFormat="false" ht="15" hidden="false" customHeight="false" outlineLevel="0" collapsed="false">
      <c r="A6" s="0" t="n">
        <v>3</v>
      </c>
      <c r="B6" s="0" t="s">
        <v>24</v>
      </c>
      <c r="C6" s="0" t="s">
        <v>16</v>
      </c>
      <c r="D6" s="0" t="n">
        <v>78.3</v>
      </c>
      <c r="E6" s="0" t="n">
        <v>108</v>
      </c>
      <c r="F6" s="0" t="s">
        <v>17</v>
      </c>
      <c r="G6" s="0" t="n">
        <v>13</v>
      </c>
      <c r="H6" s="0" t="n">
        <v>13</v>
      </c>
      <c r="I6" s="0" t="n">
        <v>6</v>
      </c>
      <c r="J6" s="0" t="n">
        <v>4</v>
      </c>
      <c r="K6" s="0" t="n">
        <v>2</v>
      </c>
      <c r="L6" s="0" t="n">
        <v>1.37931034482759</v>
      </c>
      <c r="N6" s="0" t="n">
        <f aca="false">IF((K6+L6)&gt;0,ROUND(K6/(K6+L6),3),0)</f>
        <v>0.592</v>
      </c>
    </row>
    <row r="7" customFormat="false" ht="15" hidden="false" customHeight="false" outlineLevel="0" collapsed="false">
      <c r="A7" s="0" t="n">
        <v>4</v>
      </c>
      <c r="B7" s="0" t="s">
        <v>44</v>
      </c>
      <c r="C7" s="0" t="s">
        <v>16</v>
      </c>
      <c r="D7" s="0" t="n">
        <v>70</v>
      </c>
      <c r="E7" s="0" t="n">
        <v>98</v>
      </c>
      <c r="F7" s="0" t="s">
        <v>17</v>
      </c>
      <c r="G7" s="0" t="n">
        <v>23</v>
      </c>
      <c r="H7" s="0" t="n">
        <v>38</v>
      </c>
      <c r="I7" s="0" t="n">
        <v>5</v>
      </c>
      <c r="J7" s="0" t="n">
        <v>5</v>
      </c>
      <c r="K7" s="0" t="n">
        <v>1</v>
      </c>
      <c r="L7" s="0" t="n">
        <v>1.4</v>
      </c>
      <c r="N7" s="0" t="n">
        <f aca="false">IF((K7+L7)&gt;0,ROUND(K7/(K7+L7),3),0)</f>
        <v>0.417</v>
      </c>
    </row>
    <row r="8" customFormat="false" ht="15" hidden="false" customHeight="false" outlineLevel="0" collapsed="false">
      <c r="A8" s="0" t="n">
        <v>5</v>
      </c>
      <c r="B8" s="0" t="s">
        <v>45</v>
      </c>
      <c r="C8" s="0" t="s">
        <v>16</v>
      </c>
      <c r="D8" s="0" t="n">
        <v>119.6</v>
      </c>
      <c r="E8" s="0" t="n">
        <v>178</v>
      </c>
      <c r="F8" s="0" t="s">
        <v>17</v>
      </c>
      <c r="G8" s="0" t="n">
        <v>86</v>
      </c>
      <c r="H8" s="0" t="n">
        <v>69</v>
      </c>
      <c r="I8" s="0" t="n">
        <v>10</v>
      </c>
      <c r="J8" s="0" t="n">
        <v>10</v>
      </c>
      <c r="K8" s="0" t="n">
        <v>1</v>
      </c>
      <c r="L8" s="0" t="n">
        <v>1.48829431438127</v>
      </c>
      <c r="N8" s="0" t="n">
        <f aca="false">IF((K8+L8)&gt;0,ROUND(K8/(K8+L8),3),0)</f>
        <v>0.402</v>
      </c>
    </row>
    <row r="9" customFormat="false" ht="15" hidden="false" customHeight="false" outlineLevel="0" collapsed="false">
      <c r="A9" s="0" t="n">
        <v>6</v>
      </c>
      <c r="B9" s="0" t="s">
        <v>46</v>
      </c>
      <c r="C9" s="0" t="s">
        <v>16</v>
      </c>
      <c r="D9" s="0" t="n">
        <v>63.3</v>
      </c>
      <c r="E9" s="0" t="n">
        <v>97</v>
      </c>
      <c r="F9" s="0" t="s">
        <v>17</v>
      </c>
      <c r="G9" s="0" t="n">
        <v>27</v>
      </c>
      <c r="H9" s="0" t="n">
        <v>21</v>
      </c>
      <c r="I9" s="0" t="n">
        <v>4</v>
      </c>
      <c r="J9" s="0" t="n">
        <v>3</v>
      </c>
      <c r="K9" s="0" t="n">
        <v>1</v>
      </c>
      <c r="L9" s="0" t="n">
        <v>1.53238546603476</v>
      </c>
      <c r="N9" s="0" t="n">
        <f aca="false">IF((K9+L9)&gt;0,ROUND(K9/(K9+L9),3),0)</f>
        <v>0.395</v>
      </c>
    </row>
    <row r="10" customFormat="false" ht="15" hidden="false" customHeight="false" outlineLevel="0" collapsed="false">
      <c r="A10" s="0" t="n">
        <v>7</v>
      </c>
      <c r="B10" s="0" t="s">
        <v>47</v>
      </c>
      <c r="C10" s="0" t="s">
        <v>16</v>
      </c>
      <c r="D10" s="0" t="n">
        <v>61.3</v>
      </c>
      <c r="E10" s="0" t="n">
        <v>125</v>
      </c>
      <c r="F10" s="0" t="s">
        <v>17</v>
      </c>
      <c r="G10" s="0" t="n">
        <v>52</v>
      </c>
      <c r="H10" s="0" t="n">
        <v>16</v>
      </c>
      <c r="I10" s="0" t="n">
        <v>3</v>
      </c>
      <c r="J10" s="0" t="n">
        <v>9</v>
      </c>
      <c r="K10" s="0" t="n">
        <v>0</v>
      </c>
      <c r="L10" s="0" t="n">
        <v>2.03915171288744</v>
      </c>
      <c r="N10" s="0" t="n">
        <f aca="false">IF((K10+L10)&gt;0,ROUND(K10/(K10+L10),3),0)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</v>
      </c>
      <c r="C4" s="0" t="s">
        <v>16</v>
      </c>
      <c r="D4" s="0" t="n">
        <v>162.6</v>
      </c>
      <c r="E4" s="0" t="n">
        <v>130</v>
      </c>
      <c r="F4" s="0" t="s">
        <v>17</v>
      </c>
      <c r="G4" s="0" t="n">
        <v>21</v>
      </c>
      <c r="H4" s="0" t="n">
        <v>32</v>
      </c>
      <c r="I4" s="0" t="n">
        <v>18</v>
      </c>
      <c r="J4" s="0" t="n">
        <v>5</v>
      </c>
      <c r="K4" s="0" t="n">
        <v>2</v>
      </c>
      <c r="L4" s="0" t="n">
        <v>0.799507995079951</v>
      </c>
      <c r="N4" s="0" t="n">
        <f aca="false">IF((K4+L4)&gt;0,ROUND(K4/(K4+L4),3),0)</f>
        <v>0.714</v>
      </c>
    </row>
    <row r="5" customFormat="false" ht="15" hidden="false" customHeight="false" outlineLevel="0" collapsed="false">
      <c r="A5" s="0" t="n">
        <v>2</v>
      </c>
      <c r="B5" s="0" t="s">
        <v>49</v>
      </c>
      <c r="C5" s="0" t="s">
        <v>16</v>
      </c>
      <c r="D5" s="0" t="n">
        <v>72.6</v>
      </c>
      <c r="E5" s="0" t="n">
        <v>61</v>
      </c>
      <c r="F5" s="0" t="s">
        <v>17</v>
      </c>
      <c r="G5" s="0" t="n">
        <v>17</v>
      </c>
      <c r="H5" s="0" t="n">
        <v>10</v>
      </c>
      <c r="I5" s="0" t="n">
        <v>5</v>
      </c>
      <c r="J5" s="0" t="n">
        <v>6</v>
      </c>
      <c r="K5" s="0" t="n">
        <v>1</v>
      </c>
      <c r="L5" s="0" t="n">
        <v>0.840220385674931</v>
      </c>
      <c r="N5" s="0" t="n">
        <f aca="false">IF((K5+L5)&gt;0,ROUND(K5/(K5+L5),3),0)</f>
        <v>0.543</v>
      </c>
    </row>
    <row r="6" customFormat="false" ht="15" hidden="false" customHeight="false" outlineLevel="0" collapsed="false">
      <c r="A6" s="0" t="n">
        <v>3</v>
      </c>
      <c r="B6" s="0" t="s">
        <v>43</v>
      </c>
      <c r="C6" s="0" t="s">
        <v>16</v>
      </c>
      <c r="D6" s="0" t="n">
        <v>136.6</v>
      </c>
      <c r="E6" s="0" t="n">
        <v>122</v>
      </c>
      <c r="F6" s="0" t="s">
        <v>17</v>
      </c>
      <c r="G6" s="0" t="n">
        <v>36</v>
      </c>
      <c r="H6" s="0" t="n">
        <v>46</v>
      </c>
      <c r="I6" s="0" t="n">
        <v>12</v>
      </c>
      <c r="J6" s="0" t="n">
        <v>8</v>
      </c>
      <c r="K6" s="0" t="n">
        <v>1</v>
      </c>
      <c r="L6" s="0" t="n">
        <v>0.893118594436311</v>
      </c>
      <c r="N6" s="0" t="n">
        <f aca="false">IF((K6+L6)&gt;0,ROUND(K6/(K6+L6),3),0)</f>
        <v>0.528</v>
      </c>
    </row>
    <row r="7" customFormat="false" ht="15" hidden="false" customHeight="false" outlineLevel="0" collapsed="false">
      <c r="A7" s="0" t="n">
        <v>4</v>
      </c>
      <c r="B7" s="0" t="s">
        <v>36</v>
      </c>
      <c r="C7" s="0" t="s">
        <v>16</v>
      </c>
      <c r="D7" s="0" t="n">
        <v>121.5</v>
      </c>
      <c r="E7" s="0" t="n">
        <v>110</v>
      </c>
      <c r="F7" s="0" t="s">
        <v>17</v>
      </c>
      <c r="G7" s="0" t="n">
        <v>54</v>
      </c>
      <c r="H7" s="0" t="n">
        <v>27</v>
      </c>
      <c r="I7" s="0" t="n">
        <v>10</v>
      </c>
      <c r="J7" s="0" t="n">
        <v>7</v>
      </c>
      <c r="K7" s="0" t="n">
        <v>2</v>
      </c>
      <c r="L7" s="0" t="n">
        <v>0.905349794238683</v>
      </c>
      <c r="N7" s="0" t="n">
        <f aca="false">IF((K7+L7)&gt;0,ROUND(K7/(K7+L7),3),0)</f>
        <v>0.688</v>
      </c>
    </row>
    <row r="8" customFormat="false" ht="15" hidden="false" customHeight="false" outlineLevel="0" collapsed="false">
      <c r="A8" s="0" t="n">
        <v>5</v>
      </c>
      <c r="B8" s="0" t="s">
        <v>50</v>
      </c>
      <c r="C8" s="0" t="s">
        <v>16</v>
      </c>
      <c r="D8" s="0" t="n">
        <v>107.4</v>
      </c>
      <c r="E8" s="0" t="n">
        <v>120</v>
      </c>
      <c r="F8" s="0" t="s">
        <v>17</v>
      </c>
      <c r="G8" s="0" t="n">
        <v>95</v>
      </c>
      <c r="H8" s="0" t="n">
        <v>55</v>
      </c>
      <c r="I8" s="0" t="n">
        <v>8</v>
      </c>
      <c r="J8" s="0" t="n">
        <v>8</v>
      </c>
      <c r="K8" s="0" t="n">
        <v>2</v>
      </c>
      <c r="L8" s="0" t="n">
        <v>1.11731843575419</v>
      </c>
      <c r="N8" s="0" t="n">
        <f aca="false">IF((K8+L8)&gt;0,ROUND(K8/(K8+L8),3),0)</f>
        <v>0.642</v>
      </c>
    </row>
    <row r="9" customFormat="false" ht="15" hidden="false" customHeight="false" outlineLevel="0" collapsed="false">
      <c r="A9" s="0" t="n">
        <v>6</v>
      </c>
      <c r="B9" s="0" t="s">
        <v>51</v>
      </c>
      <c r="C9" s="0" t="s">
        <v>16</v>
      </c>
      <c r="D9" s="0" t="n">
        <v>83.9</v>
      </c>
      <c r="E9" s="0" t="n">
        <v>105</v>
      </c>
      <c r="F9" s="0" t="s">
        <v>17</v>
      </c>
      <c r="G9" s="0" t="n">
        <v>13</v>
      </c>
      <c r="H9" s="0" t="n">
        <v>8</v>
      </c>
      <c r="I9" s="0" t="n">
        <v>8</v>
      </c>
      <c r="J9" s="0" t="n">
        <v>6</v>
      </c>
      <c r="K9" s="0" t="n">
        <v>0</v>
      </c>
      <c r="L9" s="0" t="n">
        <v>1.25148986889154</v>
      </c>
      <c r="N9" s="0" t="n">
        <f aca="false">IF((K9+L9)&gt;0,ROUND(K9/(K9+L9),3),0)</f>
        <v>0</v>
      </c>
    </row>
    <row r="10" customFormat="false" ht="15" hidden="false" customHeight="false" outlineLevel="0" collapsed="false">
      <c r="A10" s="0" t="n">
        <v>7</v>
      </c>
      <c r="B10" s="0" t="s">
        <v>52</v>
      </c>
      <c r="C10" s="0" t="s">
        <v>16</v>
      </c>
      <c r="D10" s="0" t="n">
        <v>72.9</v>
      </c>
      <c r="E10" s="0" t="n">
        <v>108</v>
      </c>
      <c r="F10" s="0" t="s">
        <v>17</v>
      </c>
      <c r="G10" s="0" t="n">
        <v>52</v>
      </c>
      <c r="H10" s="0" t="n">
        <v>14</v>
      </c>
      <c r="I10" s="0" t="n">
        <v>4</v>
      </c>
      <c r="J10" s="0" t="n">
        <v>8</v>
      </c>
      <c r="K10" s="0" t="n">
        <v>0</v>
      </c>
      <c r="L10" s="0" t="n">
        <v>1.48148148148148</v>
      </c>
      <c r="N10" s="0" t="n">
        <f aca="false">IF((K10+L10)&gt;0,ROUND(K10/(K10+L10),3),0)</f>
        <v>0</v>
      </c>
    </row>
    <row r="11" customFormat="false" ht="15" hidden="false" customHeight="false" outlineLevel="0" collapsed="false">
      <c r="A11" s="0" t="n">
        <v>8</v>
      </c>
      <c r="B11" s="0" t="s">
        <v>53</v>
      </c>
      <c r="C11" s="0" t="s">
        <v>16</v>
      </c>
      <c r="D11" s="0" t="n">
        <v>100.3</v>
      </c>
      <c r="E11" s="0" t="n">
        <v>153</v>
      </c>
      <c r="F11" s="0" t="s">
        <v>17</v>
      </c>
      <c r="G11" s="0" t="n">
        <v>104</v>
      </c>
      <c r="H11" s="0" t="n">
        <v>56</v>
      </c>
      <c r="I11" s="0" t="n">
        <v>6</v>
      </c>
      <c r="J11" s="0" t="n">
        <v>11</v>
      </c>
      <c r="K11" s="0" t="n">
        <v>2</v>
      </c>
      <c r="L11" s="0" t="n">
        <v>1.52542372881356</v>
      </c>
      <c r="N11" s="0" t="n">
        <f aca="false">IF((K11+L11)&gt;0,ROUND(K11/(K11+L11),3),0)</f>
        <v>0.567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21</v>
      </c>
      <c r="C4" s="0" t="s">
        <v>16</v>
      </c>
      <c r="D4" s="0" t="n">
        <v>90.3</v>
      </c>
      <c r="E4" s="0" t="n">
        <v>74</v>
      </c>
      <c r="F4" s="0" t="s">
        <v>17</v>
      </c>
      <c r="G4" s="0" t="n">
        <v>7</v>
      </c>
      <c r="H4" s="0" t="n">
        <v>16</v>
      </c>
      <c r="I4" s="0" t="n">
        <v>12</v>
      </c>
      <c r="J4" s="0" t="n">
        <v>2</v>
      </c>
      <c r="K4" s="0" t="n">
        <v>0</v>
      </c>
      <c r="L4" s="0" t="n">
        <f aca="false">H6/G6</f>
        <v>0.878787878787879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43</v>
      </c>
      <c r="C5" s="0" t="s">
        <v>16</v>
      </c>
      <c r="D5" s="0" t="n">
        <v>99.3</v>
      </c>
      <c r="E5" s="0" t="n">
        <v>84</v>
      </c>
      <c r="F5" s="0" t="s">
        <v>17</v>
      </c>
      <c r="G5" s="0" t="n">
        <v>21</v>
      </c>
      <c r="H5" s="0" t="n">
        <v>38</v>
      </c>
      <c r="I5" s="0" t="n">
        <v>9</v>
      </c>
      <c r="J5" s="0" t="n">
        <v>6</v>
      </c>
      <c r="K5" s="0" t="n">
        <v>2</v>
      </c>
      <c r="L5" s="0" t="n">
        <f aca="false">H7/G7</f>
        <v>0.48</v>
      </c>
      <c r="N5" s="0" t="n">
        <f aca="false">IF((K5+L5)&gt;0,ROUND(K5/(K5+L5),3),0)</f>
        <v>0.806</v>
      </c>
    </row>
    <row r="6" customFormat="false" ht="15" hidden="false" customHeight="false" outlineLevel="0" collapsed="false">
      <c r="A6" s="0" t="n">
        <v>3</v>
      </c>
      <c r="B6" s="0" t="s">
        <v>15</v>
      </c>
      <c r="C6" s="0" t="s">
        <v>16</v>
      </c>
      <c r="D6" s="0" t="n">
        <v>146</v>
      </c>
      <c r="E6" s="0" t="n">
        <v>141</v>
      </c>
      <c r="F6" s="0" t="s">
        <v>17</v>
      </c>
      <c r="G6" s="0" t="n">
        <v>33</v>
      </c>
      <c r="H6" s="0" t="n">
        <v>29</v>
      </c>
      <c r="I6" s="0" t="n">
        <v>17</v>
      </c>
      <c r="J6" s="0" t="n">
        <v>6</v>
      </c>
      <c r="K6" s="0" t="n">
        <v>1</v>
      </c>
      <c r="L6" s="0" t="n">
        <f aca="false">H8/G8</f>
        <v>0.98876404494382</v>
      </c>
      <c r="N6" s="0" t="n">
        <f aca="false">IF((K6+L6)&gt;0,ROUND(K6/(K6+L6),3),0)</f>
        <v>0.503</v>
      </c>
    </row>
    <row r="7" customFormat="false" ht="15" hidden="false" customHeight="false" outlineLevel="0" collapsed="false">
      <c r="A7" s="0" t="n">
        <v>4</v>
      </c>
      <c r="B7" s="0" t="s">
        <v>55</v>
      </c>
      <c r="C7" s="0" t="s">
        <v>16</v>
      </c>
      <c r="D7" s="0" t="n">
        <v>59.3</v>
      </c>
      <c r="E7" s="0" t="n">
        <v>71</v>
      </c>
      <c r="F7" s="0" t="s">
        <v>17</v>
      </c>
      <c r="G7" s="0" t="n">
        <v>25</v>
      </c>
      <c r="H7" s="0" t="n">
        <v>12</v>
      </c>
      <c r="I7" s="0" t="n">
        <v>4</v>
      </c>
      <c r="J7" s="0" t="n">
        <v>7</v>
      </c>
      <c r="K7" s="0" t="n">
        <v>0</v>
      </c>
      <c r="L7" s="0" t="n">
        <f aca="false">H9/G9</f>
        <v>0.523809523809524</v>
      </c>
      <c r="N7" s="0" t="n">
        <f aca="false">IF((K7+L7)&gt;0,ROUND(K7/(K7+L7),3),0)</f>
        <v>0</v>
      </c>
    </row>
    <row r="8" customFormat="false" ht="15" hidden="false" customHeight="false" outlineLevel="0" collapsed="false">
      <c r="A8" s="0" t="n">
        <v>5</v>
      </c>
      <c r="B8" s="0" t="s">
        <v>56</v>
      </c>
      <c r="C8" s="0" t="s">
        <v>16</v>
      </c>
      <c r="D8" s="0" t="n">
        <v>98.3</v>
      </c>
      <c r="E8" s="0" t="n">
        <v>124</v>
      </c>
      <c r="F8" s="0" t="s">
        <v>17</v>
      </c>
      <c r="G8" s="0" t="n">
        <v>89</v>
      </c>
      <c r="H8" s="0" t="n">
        <v>88</v>
      </c>
      <c r="I8" s="0" t="n">
        <v>7</v>
      </c>
      <c r="J8" s="0" t="n">
        <v>12</v>
      </c>
      <c r="K8" s="0" t="n">
        <v>1</v>
      </c>
      <c r="L8" s="0" t="n">
        <f aca="false">H10/G10</f>
        <v>0.6875</v>
      </c>
      <c r="N8" s="0" t="n">
        <f aca="false">IF((K8+L8)&gt;0,ROUND(K8/(K8+L8),3),0)</f>
        <v>0.593</v>
      </c>
    </row>
    <row r="9" customFormat="false" ht="15" hidden="false" customHeight="false" outlineLevel="0" collapsed="false">
      <c r="A9" s="0" t="n">
        <v>6</v>
      </c>
      <c r="B9" s="0" t="s">
        <v>52</v>
      </c>
      <c r="C9" s="0" t="s">
        <v>16</v>
      </c>
      <c r="D9" s="0" t="n">
        <v>99.6</v>
      </c>
      <c r="E9" s="0" t="n">
        <v>128</v>
      </c>
      <c r="F9" s="0" t="s">
        <v>17</v>
      </c>
      <c r="G9" s="0" t="n">
        <v>42</v>
      </c>
      <c r="H9" s="0" t="n">
        <v>22</v>
      </c>
      <c r="I9" s="0" t="n">
        <v>7</v>
      </c>
      <c r="J9" s="0" t="n">
        <v>7</v>
      </c>
      <c r="K9" s="0" t="n">
        <v>2</v>
      </c>
      <c r="L9" s="0" t="n">
        <f aca="false">H11/G11</f>
        <v>0.148936170212766</v>
      </c>
      <c r="N9" s="0" t="n">
        <f aca="false">IF((K9+L9)&gt;0,ROUND(K9/(K9+L9),3),0)</f>
        <v>0.931</v>
      </c>
    </row>
    <row r="10" customFormat="false" ht="15" hidden="false" customHeight="false" outlineLevel="0" collapsed="false">
      <c r="A10" s="0" t="n">
        <v>7</v>
      </c>
      <c r="B10" s="0" t="s">
        <v>23</v>
      </c>
      <c r="C10" s="0" t="s">
        <v>16</v>
      </c>
      <c r="D10" s="0" t="n">
        <v>122</v>
      </c>
      <c r="E10" s="0" t="n">
        <v>158</v>
      </c>
      <c r="F10" s="0" t="s">
        <v>17</v>
      </c>
      <c r="G10" s="0" t="n">
        <v>64</v>
      </c>
      <c r="H10" s="0" t="n">
        <v>44</v>
      </c>
      <c r="I10" s="0" t="n">
        <v>12</v>
      </c>
      <c r="J10" s="0" t="n">
        <v>10</v>
      </c>
      <c r="K10" s="0" t="n">
        <v>1</v>
      </c>
      <c r="L10" s="0" t="e">
        <f aca="false">H12/G12</f>
        <v>#DIV/0!</v>
      </c>
      <c r="N10" s="0" t="e">
        <f aca="false">IF((K10+L10)&gt;0,ROUND(K10/(K10+L10),3),0)</f>
        <v>#DIV/0!</v>
      </c>
    </row>
    <row r="11" customFormat="false" ht="15" hidden="false" customHeight="false" outlineLevel="0" collapsed="false">
      <c r="A11" s="0" t="n">
        <v>8</v>
      </c>
      <c r="B11" s="0" t="s">
        <v>57</v>
      </c>
      <c r="C11" s="0" t="s">
        <v>16</v>
      </c>
      <c r="D11" s="0" t="n">
        <v>57.6</v>
      </c>
      <c r="E11" s="0" t="n">
        <v>98</v>
      </c>
      <c r="F11" s="0" t="s">
        <v>17</v>
      </c>
      <c r="G11" s="0" t="n">
        <v>47</v>
      </c>
      <c r="H11" s="0" t="n">
        <v>7</v>
      </c>
      <c r="I11" s="0" t="n">
        <v>2</v>
      </c>
      <c r="J11" s="0" t="n">
        <v>8</v>
      </c>
      <c r="K11" s="0" t="n">
        <v>0</v>
      </c>
      <c r="L11" s="0" t="e">
        <f aca="false">H13/G13</f>
        <v>#DIV/0!</v>
      </c>
      <c r="N11" s="0" t="e">
        <f aca="false">IF((K11+L11)&gt;0,ROUND(K11/(K11+L11),3),0)</f>
        <v>#DIV/0!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59</v>
      </c>
      <c r="C4" s="0" t="s">
        <v>16</v>
      </c>
      <c r="D4" s="0" t="n">
        <v>114.3</v>
      </c>
      <c r="E4" s="0" t="n">
        <v>86</v>
      </c>
      <c r="F4" s="0" t="s">
        <v>17</v>
      </c>
      <c r="G4" s="0" t="n">
        <v>90</v>
      </c>
      <c r="H4" s="0" t="n">
        <v>119</v>
      </c>
      <c r="I4" s="0" t="n">
        <v>11</v>
      </c>
      <c r="J4" s="0" t="n">
        <v>7</v>
      </c>
      <c r="K4" s="0" t="n">
        <v>0</v>
      </c>
      <c r="L4" s="0" t="n">
        <v>0.752405949256343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60</v>
      </c>
      <c r="C5" s="0" t="s">
        <v>16</v>
      </c>
      <c r="D5" s="0" t="n">
        <v>145.6</v>
      </c>
      <c r="E5" s="0" t="n">
        <v>129</v>
      </c>
      <c r="F5" s="0" t="s">
        <v>17</v>
      </c>
      <c r="G5" s="0" t="n">
        <v>84</v>
      </c>
      <c r="H5" s="0" t="n">
        <v>58</v>
      </c>
      <c r="I5" s="0" t="n">
        <v>15</v>
      </c>
      <c r="J5" s="0" t="n">
        <v>7</v>
      </c>
      <c r="K5" s="0" t="n">
        <v>1</v>
      </c>
      <c r="L5" s="0" t="n">
        <v>0.885989010989011</v>
      </c>
      <c r="N5" s="0" t="n">
        <f aca="false">IF((K5+L5)&gt;0,ROUND(K5/(K5+L5),3),0)</f>
        <v>0.53</v>
      </c>
    </row>
    <row r="6" customFormat="false" ht="15" hidden="false" customHeight="false" outlineLevel="0" collapsed="false">
      <c r="A6" s="0" t="n">
        <v>3</v>
      </c>
      <c r="B6" s="0" t="s">
        <v>61</v>
      </c>
      <c r="C6" s="0" t="s">
        <v>16</v>
      </c>
      <c r="D6" s="0" t="n">
        <v>152</v>
      </c>
      <c r="E6" s="0" t="n">
        <v>155</v>
      </c>
      <c r="F6" s="0" t="s">
        <v>17</v>
      </c>
      <c r="G6" s="0" t="n">
        <v>52</v>
      </c>
      <c r="H6" s="0" t="n">
        <v>28</v>
      </c>
      <c r="I6" s="0" t="n">
        <v>15</v>
      </c>
      <c r="J6" s="0" t="n">
        <v>9</v>
      </c>
      <c r="K6" s="0" t="n">
        <v>0</v>
      </c>
      <c r="L6" s="0" t="n">
        <v>1.01973684210526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62</v>
      </c>
      <c r="C7" s="0" t="s">
        <v>16</v>
      </c>
      <c r="D7" s="0" t="n">
        <v>127.6</v>
      </c>
      <c r="E7" s="0" t="n">
        <v>132</v>
      </c>
      <c r="F7" s="0" t="s">
        <v>17</v>
      </c>
      <c r="G7" s="0" t="n">
        <v>65</v>
      </c>
      <c r="H7" s="0" t="n">
        <v>102</v>
      </c>
      <c r="I7" s="0" t="n">
        <v>12</v>
      </c>
      <c r="J7" s="0" t="n">
        <v>8</v>
      </c>
      <c r="K7" s="0" t="n">
        <v>1</v>
      </c>
      <c r="L7" s="0" t="n">
        <v>1.03448275862069</v>
      </c>
      <c r="N7" s="0" t="n">
        <f aca="false">IF((K7+L7)&gt;0,ROUND(K7/(K7+L7),3),0)</f>
        <v>0.492</v>
      </c>
    </row>
    <row r="8" customFormat="false" ht="15" hidden="false" customHeight="false" outlineLevel="0" collapsed="false">
      <c r="A8" s="0" t="n">
        <v>5</v>
      </c>
      <c r="B8" s="0" t="s">
        <v>63</v>
      </c>
      <c r="C8" s="0" t="s">
        <v>16</v>
      </c>
      <c r="D8" s="0" t="n">
        <v>107.3</v>
      </c>
      <c r="E8" s="0" t="n">
        <v>152</v>
      </c>
      <c r="F8" s="0" t="s">
        <v>17</v>
      </c>
      <c r="G8" s="0" t="n">
        <v>46</v>
      </c>
      <c r="H8" s="0" t="n">
        <v>18</v>
      </c>
      <c r="I8" s="0" t="n">
        <v>8</v>
      </c>
      <c r="J8" s="0" t="n">
        <v>7</v>
      </c>
      <c r="K8" s="0" t="n">
        <v>1</v>
      </c>
      <c r="L8" s="0" t="n">
        <v>1.4165890027959</v>
      </c>
      <c r="N8" s="0" t="n">
        <f aca="false">IF((K8+L8)&gt;0,ROUND(K8/(K8+L8),3),0)</f>
        <v>0.414</v>
      </c>
    </row>
    <row r="9" customFormat="false" ht="15" hidden="false" customHeight="false" outlineLevel="0" collapsed="false">
      <c r="A9" s="0" t="n">
        <v>6</v>
      </c>
      <c r="B9" s="0" t="s">
        <v>64</v>
      </c>
      <c r="C9" s="0" t="s">
        <v>16</v>
      </c>
      <c r="D9" s="0" t="n">
        <v>81.6</v>
      </c>
      <c r="E9" s="0" t="n">
        <v>147</v>
      </c>
      <c r="F9" s="0" t="s">
        <v>17</v>
      </c>
      <c r="G9" s="0" t="n">
        <v>72</v>
      </c>
      <c r="H9" s="0" t="n">
        <v>24</v>
      </c>
      <c r="I9" s="0" t="n">
        <v>3</v>
      </c>
      <c r="J9" s="0" t="n">
        <v>11</v>
      </c>
      <c r="K9" s="0" t="n">
        <v>0</v>
      </c>
      <c r="L9" s="0" t="n">
        <v>1.80147058823529</v>
      </c>
      <c r="N9" s="0" t="n">
        <f aca="false">IF((K9+L9)&gt;0,ROUND(K9/(K9+L9),3),0)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66</v>
      </c>
      <c r="C4" s="0" t="s">
        <v>16</v>
      </c>
      <c r="D4" s="0" t="s">
        <v>67</v>
      </c>
      <c r="E4" s="0" t="n">
        <v>140</v>
      </c>
      <c r="F4" s="0" t="s">
        <v>17</v>
      </c>
      <c r="G4" s="0" t="n">
        <v>81</v>
      </c>
      <c r="H4" s="0" t="n">
        <v>114</v>
      </c>
      <c r="I4" s="0" t="n">
        <v>15</v>
      </c>
      <c r="J4" s="0" t="n">
        <v>7</v>
      </c>
      <c r="K4" s="0" t="n">
        <v>0</v>
      </c>
      <c r="L4" s="0" t="s">
        <v>68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69</v>
      </c>
      <c r="C5" s="0" t="s">
        <v>16</v>
      </c>
      <c r="D5" s="0" t="n">
        <v>91</v>
      </c>
      <c r="E5" s="0" t="n">
        <v>97</v>
      </c>
      <c r="F5" s="0" t="s">
        <v>17</v>
      </c>
      <c r="G5" s="0" t="n">
        <v>89</v>
      </c>
      <c r="H5" s="0" t="n">
        <v>33</v>
      </c>
      <c r="I5" s="0" t="n">
        <v>10</v>
      </c>
      <c r="J5" s="0" t="n">
        <v>4</v>
      </c>
      <c r="K5" s="0" t="n">
        <v>0</v>
      </c>
      <c r="L5" s="0" t="s">
        <v>70</v>
      </c>
      <c r="N5" s="0" t="n">
        <f aca="false">IF((K5+L5)&gt;0,ROUND(K5/(K5+L5),3),0)</f>
        <v>0</v>
      </c>
    </row>
    <row r="6" customFormat="false" ht="15" hidden="false" customHeight="false" outlineLevel="0" collapsed="false">
      <c r="A6" s="0" t="n">
        <v>3</v>
      </c>
      <c r="B6" s="0" t="s">
        <v>71</v>
      </c>
      <c r="C6" s="0" t="s">
        <v>16</v>
      </c>
      <c r="D6" s="0" t="s">
        <v>72</v>
      </c>
      <c r="E6" s="0" t="n">
        <v>178</v>
      </c>
      <c r="F6" s="0" t="s">
        <v>17</v>
      </c>
      <c r="G6" s="0" t="n">
        <v>93</v>
      </c>
      <c r="H6" s="0" t="n">
        <v>63</v>
      </c>
      <c r="I6" s="0" t="n">
        <v>8</v>
      </c>
      <c r="J6" s="0" t="n">
        <v>10</v>
      </c>
      <c r="K6" s="0" t="n">
        <v>2</v>
      </c>
      <c r="L6" s="0" t="s">
        <v>73</v>
      </c>
      <c r="N6" s="0" t="n">
        <f aca="false">IF((K6+L6)&gt;0,ROUND(K6/(K6+L6),3),0)</f>
        <v>0.61</v>
      </c>
    </row>
    <row r="7" customFormat="false" ht="15" hidden="false" customHeight="false" outlineLevel="0" collapsed="false">
      <c r="A7" s="0" t="n">
        <v>4</v>
      </c>
      <c r="B7" s="0" t="s">
        <v>74</v>
      </c>
      <c r="C7" s="0" t="s">
        <v>16</v>
      </c>
      <c r="D7" s="0" t="s">
        <v>75</v>
      </c>
      <c r="E7" s="0" t="n">
        <v>169</v>
      </c>
      <c r="F7" s="0" t="s">
        <v>17</v>
      </c>
      <c r="G7" s="0" t="n">
        <v>61</v>
      </c>
      <c r="H7" s="0" t="n">
        <v>34</v>
      </c>
      <c r="I7" s="0" t="n">
        <v>10</v>
      </c>
      <c r="J7" s="0" t="n">
        <v>8</v>
      </c>
      <c r="K7" s="0" t="n">
        <v>1</v>
      </c>
      <c r="L7" s="0" t="s">
        <v>76</v>
      </c>
      <c r="N7" s="0" t="n">
        <f aca="false">IF((K7+L7)&gt;0,ROUND(K7/(K7+L7),3),0)</f>
        <v>0.429</v>
      </c>
    </row>
    <row r="8" customFormat="false" ht="15" hidden="false" customHeight="false" outlineLevel="0" collapsed="false">
      <c r="A8" s="0" t="n">
        <v>5</v>
      </c>
      <c r="B8" s="0" t="s">
        <v>77</v>
      </c>
      <c r="C8" s="0" t="s">
        <v>16</v>
      </c>
      <c r="D8" s="0" t="n">
        <v>100</v>
      </c>
      <c r="E8" s="0" t="n">
        <v>149</v>
      </c>
      <c r="F8" s="0" t="s">
        <v>17</v>
      </c>
      <c r="G8" s="0" t="n">
        <v>29</v>
      </c>
      <c r="H8" s="0" t="n">
        <v>10</v>
      </c>
      <c r="I8" s="0" t="n">
        <v>8</v>
      </c>
      <c r="J8" s="0" t="n">
        <v>8</v>
      </c>
      <c r="K8" s="0" t="n">
        <v>0</v>
      </c>
      <c r="L8" s="0" t="s">
        <v>78</v>
      </c>
      <c r="N8" s="0" t="n">
        <f aca="false">IF((K8+L8)&gt;0,ROUND(K8/(K8+L8),3),0)</f>
        <v>0</v>
      </c>
    </row>
    <row r="9" customFormat="false" ht="15" hidden="false" customHeight="false" outlineLevel="0" collapsed="false">
      <c r="A9" s="0" t="n">
        <v>6</v>
      </c>
      <c r="B9" s="0" t="s">
        <v>79</v>
      </c>
      <c r="C9" s="0" t="s">
        <v>16</v>
      </c>
      <c r="D9" s="0" t="s">
        <v>80</v>
      </c>
      <c r="E9" s="0" t="n">
        <v>149</v>
      </c>
      <c r="F9" s="0" t="s">
        <v>17</v>
      </c>
      <c r="G9" s="0" t="n">
        <v>16</v>
      </c>
      <c r="H9" s="0" t="n">
        <v>19</v>
      </c>
      <c r="I9" s="0" t="n">
        <v>6</v>
      </c>
      <c r="J9" s="0" t="n">
        <v>10</v>
      </c>
      <c r="K9" s="0" t="n">
        <v>0</v>
      </c>
      <c r="L9" s="0" t="s">
        <v>78</v>
      </c>
      <c r="N9" s="0" t="n">
        <f aca="false">IF((K9+L9)&gt;0,ROUND(K9/(K9+L9),3),0)</f>
        <v>0</v>
      </c>
    </row>
    <row r="10" customFormat="false" ht="15" hidden="false" customHeight="false" outlineLevel="0" collapsed="false">
      <c r="A10" s="0" t="n">
        <v>7</v>
      </c>
      <c r="B10" s="0" t="s">
        <v>81</v>
      </c>
      <c r="C10" s="0" t="s">
        <v>16</v>
      </c>
      <c r="D10" s="0" t="s">
        <v>82</v>
      </c>
      <c r="E10" s="0" t="n">
        <v>144</v>
      </c>
      <c r="F10" s="0" t="s">
        <v>17</v>
      </c>
      <c r="G10" s="0" t="n">
        <v>41</v>
      </c>
      <c r="H10" s="0" t="n">
        <v>53</v>
      </c>
      <c r="I10" s="0" t="n">
        <v>4</v>
      </c>
      <c r="J10" s="0" t="n">
        <v>12</v>
      </c>
      <c r="K10" s="0" t="n">
        <v>0</v>
      </c>
      <c r="L10" s="0" t="s">
        <v>78</v>
      </c>
      <c r="N10" s="0" t="n">
        <f aca="false">IF((K10+L10)&gt;0,ROUND(K10/(K10+L10),3),0)</f>
        <v>0</v>
      </c>
    </row>
    <row r="11" customFormat="false" ht="15" hidden="false" customHeight="false" outlineLevel="0" collapsed="false">
      <c r="A11" s="0" t="n">
        <v>8</v>
      </c>
      <c r="B11" s="0" t="s">
        <v>83</v>
      </c>
      <c r="C11" s="0" t="s">
        <v>16</v>
      </c>
      <c r="D11" s="0" t="s">
        <v>84</v>
      </c>
      <c r="E11" s="0" t="n">
        <v>117</v>
      </c>
      <c r="F11" s="0" t="s">
        <v>17</v>
      </c>
      <c r="G11" s="0" t="n">
        <v>55</v>
      </c>
      <c r="H11" s="0" t="n">
        <v>28</v>
      </c>
      <c r="I11" s="0" t="n">
        <v>5</v>
      </c>
      <c r="J11" s="0" t="n">
        <v>5</v>
      </c>
      <c r="K11" s="0" t="n">
        <v>0</v>
      </c>
      <c r="L11" s="0" t="s">
        <v>85</v>
      </c>
      <c r="N11" s="0" t="n">
        <f aca="false">IF((K11+L11)&gt;0,ROUND(K11/(K11+L11),3),0)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66</v>
      </c>
      <c r="C4" s="0" t="s">
        <v>16</v>
      </c>
      <c r="D4" s="0" t="n">
        <v>72.3</v>
      </c>
      <c r="E4" s="0" t="n">
        <v>76</v>
      </c>
      <c r="F4" s="0" t="n">
        <v>89</v>
      </c>
      <c r="G4" s="0" t="n">
        <v>48</v>
      </c>
      <c r="H4" s="0" t="n">
        <v>59</v>
      </c>
      <c r="I4" s="0" t="n">
        <v>7</v>
      </c>
      <c r="J4" s="0" t="n">
        <v>6</v>
      </c>
      <c r="K4" s="0" t="n">
        <v>0</v>
      </c>
      <c r="L4" s="0" t="n">
        <v>1.05117565698479</v>
      </c>
      <c r="N4" s="0" t="n">
        <f aca="false">IF((K4+L4)&gt;0,ROUND(K4/(K4+L4),3),0)</f>
        <v>0</v>
      </c>
    </row>
    <row r="5" customFormat="false" ht="15" hidden="false" customHeight="false" outlineLevel="0" collapsed="false">
      <c r="A5" s="0" t="n">
        <v>2</v>
      </c>
      <c r="B5" s="0" t="s">
        <v>69</v>
      </c>
      <c r="C5" s="0" t="s">
        <v>16</v>
      </c>
      <c r="D5" s="0" t="n">
        <v>82</v>
      </c>
      <c r="E5" s="0" t="n">
        <v>93</v>
      </c>
      <c r="F5" s="0" t="n">
        <v>106</v>
      </c>
      <c r="G5" s="0" t="n">
        <v>103</v>
      </c>
      <c r="H5" s="0" t="n">
        <v>31</v>
      </c>
      <c r="I5" s="0" t="n">
        <v>9</v>
      </c>
      <c r="J5" s="0" t="n">
        <v>4</v>
      </c>
      <c r="K5" s="0" t="n">
        <v>0</v>
      </c>
      <c r="L5" s="0" t="n">
        <v>1.13414634146342</v>
      </c>
      <c r="N5" s="0" t="n">
        <f aca="false">IF((K5+L5)&gt;0,ROUND(K5/(K5+L5),3),0)</f>
        <v>0</v>
      </c>
    </row>
    <row r="6" customFormat="false" ht="15" hidden="false" customHeight="false" outlineLevel="0" collapsed="false">
      <c r="A6" s="0" t="n">
        <v>3</v>
      </c>
      <c r="B6" s="0" t="s">
        <v>87</v>
      </c>
      <c r="C6" s="0" t="s">
        <v>16</v>
      </c>
      <c r="D6" s="0" t="n">
        <v>95</v>
      </c>
      <c r="E6" s="0" t="n">
        <v>113</v>
      </c>
      <c r="F6" s="0" t="n">
        <v>164</v>
      </c>
      <c r="G6" s="0" t="n">
        <v>30</v>
      </c>
      <c r="H6" s="0" t="n">
        <v>57</v>
      </c>
      <c r="I6" s="0" t="n">
        <v>10</v>
      </c>
      <c r="J6" s="0" t="n">
        <v>6</v>
      </c>
      <c r="K6" s="0" t="n">
        <v>0</v>
      </c>
      <c r="L6" s="0" t="n">
        <v>1.18947368421053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88</v>
      </c>
      <c r="C7" s="0" t="s">
        <v>16</v>
      </c>
      <c r="D7" s="0" t="n">
        <v>127</v>
      </c>
      <c r="E7" s="0" t="n">
        <v>160</v>
      </c>
      <c r="F7" s="0" t="n">
        <v>190</v>
      </c>
      <c r="G7" s="0" t="n">
        <v>5</v>
      </c>
      <c r="H7" s="0" t="n">
        <v>51</v>
      </c>
      <c r="I7" s="0" t="n">
        <v>12</v>
      </c>
      <c r="J7" s="0" t="n">
        <v>7</v>
      </c>
      <c r="K7" s="0" t="n">
        <v>0</v>
      </c>
      <c r="L7" s="0" t="n">
        <v>1.25984251968504</v>
      </c>
      <c r="N7" s="0" t="n">
        <f aca="false">IF((K7+L7)&gt;0,ROUND(K7/(K7+L7),3),0)</f>
        <v>0</v>
      </c>
    </row>
    <row r="8" customFormat="false" ht="15" hidden="false" customHeight="false" outlineLevel="0" collapsed="false">
      <c r="A8" s="0" t="n">
        <v>5</v>
      </c>
      <c r="B8" s="0" t="s">
        <v>89</v>
      </c>
      <c r="C8" s="0" t="s">
        <v>16</v>
      </c>
      <c r="D8" s="0" t="n">
        <v>116</v>
      </c>
      <c r="E8" s="0" t="n">
        <v>178</v>
      </c>
      <c r="F8" s="0" t="n">
        <v>184</v>
      </c>
      <c r="G8" s="0" t="n">
        <v>94</v>
      </c>
      <c r="H8" s="0" t="n">
        <v>72</v>
      </c>
      <c r="I8" s="0" t="n">
        <v>8</v>
      </c>
      <c r="J8" s="0" t="n">
        <v>11</v>
      </c>
      <c r="K8" s="0" t="n">
        <v>2</v>
      </c>
      <c r="L8" s="0" t="n">
        <v>1.53448275862069</v>
      </c>
      <c r="N8" s="0" t="n">
        <f aca="false">IF((K8+L8)&gt;0,ROUND(K8/(K8+L8),3),0)</f>
        <v>0.566</v>
      </c>
    </row>
    <row r="9" customFormat="false" ht="15" hidden="false" customHeight="false" outlineLevel="0" collapsed="false">
      <c r="A9" s="0" t="n">
        <v>6</v>
      </c>
      <c r="B9" s="0" t="s">
        <v>79</v>
      </c>
      <c r="C9" s="0" t="s">
        <v>16</v>
      </c>
      <c r="D9" s="0" t="n">
        <v>98.3</v>
      </c>
      <c r="E9" s="0" t="n">
        <v>153</v>
      </c>
      <c r="F9" s="0" t="n">
        <v>199</v>
      </c>
      <c r="G9" s="0" t="n">
        <v>14</v>
      </c>
      <c r="H9" s="0" t="n">
        <v>8</v>
      </c>
      <c r="I9" s="0" t="n">
        <v>7</v>
      </c>
      <c r="J9" s="0" t="n">
        <v>7</v>
      </c>
      <c r="K9" s="0" t="n">
        <v>0</v>
      </c>
      <c r="L9" s="0" t="n">
        <v>1.55645981688708</v>
      </c>
      <c r="N9" s="0" t="n">
        <f aca="false">IF((K9+L9)&gt;0,ROUND(K9/(K9+L9),3),0)</f>
        <v>0</v>
      </c>
    </row>
    <row r="10" customFormat="false" ht="15" hidden="false" customHeight="false" outlineLevel="0" collapsed="false">
      <c r="A10" s="0" t="n">
        <v>7</v>
      </c>
      <c r="B10" s="0" t="s">
        <v>90</v>
      </c>
      <c r="C10" s="0" t="s">
        <v>16</v>
      </c>
      <c r="D10" s="0" t="n">
        <v>101.6</v>
      </c>
      <c r="E10" s="0" t="n">
        <v>163</v>
      </c>
      <c r="F10" s="0" t="n">
        <v>188</v>
      </c>
      <c r="G10" s="0" t="n">
        <v>37</v>
      </c>
      <c r="H10" s="0" t="n">
        <v>18</v>
      </c>
      <c r="I10" s="0" t="n">
        <v>7</v>
      </c>
      <c r="J10" s="0" t="n">
        <v>10</v>
      </c>
      <c r="K10" s="0" t="n">
        <v>0</v>
      </c>
      <c r="L10" s="0" t="n">
        <v>1.60433070866142</v>
      </c>
      <c r="N10" s="0" t="n">
        <f aca="false">IF((K10+L10)&gt;0,ROUND(K10/(K10+L10),3),0)</f>
        <v>0</v>
      </c>
    </row>
    <row r="11" customFormat="false" ht="15" hidden="false" customHeight="false" outlineLevel="0" collapsed="false">
      <c r="A11" s="0" t="n">
        <v>8</v>
      </c>
      <c r="B11" s="0" t="s">
        <v>91</v>
      </c>
      <c r="C11" s="0" t="s">
        <v>16</v>
      </c>
      <c r="D11" s="0" t="n">
        <v>79.6</v>
      </c>
      <c r="E11" s="0" t="n">
        <v>134</v>
      </c>
      <c r="F11" s="0" t="n">
        <v>152</v>
      </c>
      <c r="G11" s="0" t="n">
        <v>62</v>
      </c>
      <c r="H11" s="0" t="n">
        <v>46</v>
      </c>
      <c r="I11" s="0" t="n">
        <v>7</v>
      </c>
      <c r="J11" s="0" t="n">
        <v>8</v>
      </c>
      <c r="K11" s="0" t="n">
        <v>1</v>
      </c>
      <c r="L11" s="0" t="n">
        <v>1.68341708542714</v>
      </c>
      <c r="N11" s="0" t="n">
        <f aca="false">IF((K11+L11)&gt;0,ROUND(K11/(K11+L11),3),0)</f>
        <v>0.373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66</v>
      </c>
      <c r="C4" s="0" t="s">
        <v>16</v>
      </c>
      <c r="D4" s="0" t="n">
        <v>122</v>
      </c>
      <c r="E4" s="0" t="n">
        <v>119</v>
      </c>
      <c r="F4" s="0" t="n">
        <v>162</v>
      </c>
      <c r="G4" s="0" t="n">
        <v>72</v>
      </c>
      <c r="H4" s="0" t="n">
        <v>96</v>
      </c>
      <c r="I4" s="0" t="n">
        <v>13</v>
      </c>
      <c r="J4" s="0" t="n">
        <v>7</v>
      </c>
      <c r="K4" s="0" t="n">
        <v>1</v>
      </c>
      <c r="L4" s="0" t="n">
        <v>0.975</v>
      </c>
      <c r="N4" s="0" t="n">
        <f aca="false">IF((K4+L4)&gt;0,ROUND(K4/(K4+L4),3),0)</f>
        <v>0.506</v>
      </c>
    </row>
    <row r="5" customFormat="false" ht="15" hidden="false" customHeight="false" outlineLevel="0" collapsed="false">
      <c r="A5" s="0" t="n">
        <v>2</v>
      </c>
      <c r="B5" s="0" t="s">
        <v>89</v>
      </c>
      <c r="C5" s="0" t="s">
        <v>16</v>
      </c>
      <c r="D5" s="0" t="n">
        <v>87</v>
      </c>
      <c r="E5" s="0" t="n">
        <v>121</v>
      </c>
      <c r="F5" s="0" t="n">
        <v>150</v>
      </c>
      <c r="G5" s="0" t="n">
        <v>51</v>
      </c>
      <c r="H5" s="0" t="n">
        <v>38</v>
      </c>
      <c r="I5" s="0" t="n">
        <v>10</v>
      </c>
      <c r="J5" s="0" t="n">
        <v>4</v>
      </c>
      <c r="K5" s="0" t="n">
        <v>2</v>
      </c>
      <c r="L5" s="0" t="n">
        <v>1.391</v>
      </c>
      <c r="N5" s="0" t="n">
        <f aca="false">IF((K5+L5)&gt;0,ROUND(K5/(K5+L5),3),0)</f>
        <v>0.59</v>
      </c>
    </row>
    <row r="6" customFormat="false" ht="15" hidden="false" customHeight="false" outlineLevel="0" collapsed="false">
      <c r="A6" s="0" t="n">
        <v>3</v>
      </c>
      <c r="B6" s="0" t="s">
        <v>71</v>
      </c>
      <c r="C6" s="0" t="s">
        <v>16</v>
      </c>
      <c r="D6" s="0" t="n">
        <v>103</v>
      </c>
      <c r="E6" s="0" t="n">
        <v>150</v>
      </c>
      <c r="F6" s="0" t="n">
        <v>170</v>
      </c>
      <c r="G6" s="0" t="n">
        <v>81</v>
      </c>
      <c r="H6" s="0" t="n">
        <v>74</v>
      </c>
      <c r="I6" s="0" t="n">
        <v>9</v>
      </c>
      <c r="J6" s="0" t="n">
        <v>10</v>
      </c>
      <c r="K6" s="0" t="n">
        <v>1</v>
      </c>
      <c r="L6" s="0" t="n">
        <v>1.458</v>
      </c>
      <c r="N6" s="0" t="n">
        <f aca="false">IF((K6+L6)&gt;0,ROUND(K6/(K6+L6),3),0)</f>
        <v>0.407</v>
      </c>
    </row>
    <row r="7" customFormat="false" ht="15" hidden="false" customHeight="false" outlineLevel="0" collapsed="false">
      <c r="A7" s="0" t="n">
        <v>4</v>
      </c>
      <c r="B7" s="0" t="s">
        <v>93</v>
      </c>
      <c r="C7" s="0" t="s">
        <v>16</v>
      </c>
      <c r="D7" s="0" t="n">
        <v>94.6</v>
      </c>
      <c r="E7" s="0" t="n">
        <v>141</v>
      </c>
      <c r="F7" s="0" t="n">
        <v>171</v>
      </c>
      <c r="G7" s="0" t="n">
        <v>46</v>
      </c>
      <c r="H7" s="0" t="n">
        <v>41</v>
      </c>
      <c r="I7" s="0" t="n">
        <v>9</v>
      </c>
      <c r="J7" s="0" t="n">
        <v>9</v>
      </c>
      <c r="K7" s="0" t="n">
        <v>0</v>
      </c>
      <c r="L7" s="0" t="n">
        <v>1.49</v>
      </c>
      <c r="N7" s="0" t="n">
        <f aca="false">IF((K7+L7)&gt;0,ROUND(K7/(K7+L7),3),0)</f>
        <v>0</v>
      </c>
    </row>
    <row r="8" customFormat="false" ht="15" hidden="false" customHeight="false" outlineLevel="0" collapsed="false">
      <c r="A8" s="0" t="n">
        <v>5</v>
      </c>
      <c r="B8" s="0" t="s">
        <v>94</v>
      </c>
      <c r="C8" s="0" t="s">
        <v>16</v>
      </c>
      <c r="D8" s="0" t="n">
        <v>93.6</v>
      </c>
      <c r="E8" s="0" t="n">
        <v>145</v>
      </c>
      <c r="F8" s="0" t="n">
        <v>169</v>
      </c>
      <c r="G8" s="0" t="n">
        <v>35</v>
      </c>
      <c r="H8" s="0" t="n">
        <v>19</v>
      </c>
      <c r="I8" s="0" t="n">
        <v>7</v>
      </c>
      <c r="J8" s="0" t="n">
        <v>6</v>
      </c>
      <c r="K8" s="0" t="n">
        <v>2</v>
      </c>
      <c r="L8" s="0" t="n">
        <v>1.549</v>
      </c>
      <c r="N8" s="0" t="n">
        <f aca="false">IF((K8+L8)&gt;0,ROUND(K8/(K8+L8),3),0)</f>
        <v>0.564</v>
      </c>
    </row>
    <row r="9" customFormat="false" ht="15" hidden="false" customHeight="false" outlineLevel="0" collapsed="false">
      <c r="A9" s="0" t="n">
        <v>6</v>
      </c>
      <c r="B9" s="0" t="s">
        <v>95</v>
      </c>
      <c r="C9" s="0" t="s">
        <v>16</v>
      </c>
      <c r="D9" s="0" t="n">
        <v>85.3</v>
      </c>
      <c r="E9" s="0" t="n">
        <v>158</v>
      </c>
      <c r="F9" s="0" t="n">
        <v>197</v>
      </c>
      <c r="G9" s="0" t="n">
        <v>20</v>
      </c>
      <c r="H9" s="0" t="n">
        <v>14</v>
      </c>
      <c r="I9" s="0" t="n">
        <v>4</v>
      </c>
      <c r="J9" s="0" t="n">
        <v>10</v>
      </c>
      <c r="K9" s="0" t="n">
        <v>0</v>
      </c>
      <c r="L9" s="0" t="n">
        <v>1.852</v>
      </c>
      <c r="N9" s="0" t="n">
        <f aca="false">IF((K9+L9)&gt;0,ROUND(K9/(K9+L9),3),0)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97</v>
      </c>
      <c r="C4" s="0" t="s">
        <v>16</v>
      </c>
      <c r="D4" s="0" t="n">
        <v>128</v>
      </c>
      <c r="E4" s="0" t="n">
        <v>110</v>
      </c>
      <c r="F4" s="0" t="n">
        <v>169</v>
      </c>
      <c r="G4" s="0" t="n">
        <v>57</v>
      </c>
      <c r="H4" s="0" t="n">
        <v>69</v>
      </c>
      <c r="I4" s="0" t="n">
        <v>16</v>
      </c>
      <c r="J4" s="0" t="n">
        <v>4</v>
      </c>
      <c r="K4" s="0" t="n">
        <v>1</v>
      </c>
      <c r="L4" s="0" t="n">
        <v>0.859</v>
      </c>
      <c r="N4" s="0" t="n">
        <f aca="false">IF((K4+L4)&gt;0,ROUND(K4/(K4+L4),3),0)</f>
        <v>0.538</v>
      </c>
    </row>
    <row r="5" customFormat="false" ht="15" hidden="false" customHeight="false" outlineLevel="0" collapsed="false">
      <c r="A5" s="0" t="n">
        <v>2</v>
      </c>
      <c r="B5" s="0" t="s">
        <v>98</v>
      </c>
      <c r="C5" s="0" t="s">
        <v>16</v>
      </c>
      <c r="D5" s="0" t="n">
        <v>69</v>
      </c>
      <c r="E5" s="0" t="n">
        <v>71</v>
      </c>
      <c r="F5" s="0" t="n">
        <v>107</v>
      </c>
      <c r="G5" s="0" t="n">
        <v>60</v>
      </c>
      <c r="H5" s="0" t="n">
        <v>27</v>
      </c>
      <c r="I5" s="0" t="n">
        <v>7</v>
      </c>
      <c r="J5" s="0" t="n">
        <v>1</v>
      </c>
      <c r="K5" s="0" t="n">
        <v>0</v>
      </c>
      <c r="L5" s="0" t="n">
        <v>1.029</v>
      </c>
      <c r="N5" s="0" t="n">
        <f aca="false">IF((K5+L5)&gt;0,ROUND(K5/(K5+L5),3),0)</f>
        <v>0</v>
      </c>
    </row>
    <row r="6" customFormat="false" ht="15" hidden="false" customHeight="false" outlineLevel="0" collapsed="false">
      <c r="A6" s="0" t="n">
        <v>3</v>
      </c>
      <c r="B6" s="0" t="s">
        <v>99</v>
      </c>
      <c r="C6" s="0" t="s">
        <v>16</v>
      </c>
      <c r="D6" s="0" t="s">
        <v>100</v>
      </c>
      <c r="E6" s="0" t="n">
        <v>86</v>
      </c>
      <c r="F6" s="0" t="n">
        <v>130</v>
      </c>
      <c r="G6" s="0" t="n">
        <v>15</v>
      </c>
      <c r="H6" s="0" t="n">
        <v>7</v>
      </c>
      <c r="I6" s="0" t="n">
        <v>7</v>
      </c>
      <c r="J6" s="0" t="n">
        <v>6</v>
      </c>
      <c r="K6" s="0" t="n">
        <v>0</v>
      </c>
      <c r="L6" s="0" t="n">
        <v>1.34</v>
      </c>
      <c r="N6" s="0" t="n">
        <f aca="false">IF((K6+L6)&gt;0,ROUND(K6/(K6+L6),3),0)</f>
        <v>0</v>
      </c>
    </row>
    <row r="7" customFormat="false" ht="15" hidden="false" customHeight="false" outlineLevel="0" collapsed="false">
      <c r="A7" s="0" t="n">
        <v>4</v>
      </c>
      <c r="B7" s="0" t="s">
        <v>101</v>
      </c>
      <c r="C7" s="0" t="s">
        <v>16</v>
      </c>
      <c r="D7" s="0" t="n">
        <v>81.1</v>
      </c>
      <c r="E7" s="0" t="n">
        <v>110</v>
      </c>
      <c r="F7" s="0" t="n">
        <v>163</v>
      </c>
      <c r="G7" s="0" t="n">
        <v>23</v>
      </c>
      <c r="H7" s="0" t="n">
        <v>17</v>
      </c>
      <c r="I7" s="0" t="n">
        <v>6</v>
      </c>
      <c r="J7" s="0" t="n">
        <v>5</v>
      </c>
      <c r="K7" s="0" t="n">
        <v>3</v>
      </c>
      <c r="L7" s="0" t="n">
        <v>1.356</v>
      </c>
      <c r="N7" s="0" t="n">
        <f aca="false">IF((K7+L7)&gt;0,ROUND(K7/(K7+L7),3),0)</f>
        <v>0.689</v>
      </c>
    </row>
    <row r="8" customFormat="false" ht="15" hidden="false" customHeight="false" outlineLevel="0" collapsed="false">
      <c r="A8" s="0" t="n">
        <v>5</v>
      </c>
      <c r="B8" s="0" t="s">
        <v>102</v>
      </c>
      <c r="C8" s="0" t="s">
        <v>16</v>
      </c>
      <c r="D8" s="0" t="n">
        <v>120.1</v>
      </c>
      <c r="E8" s="0" t="n">
        <v>177</v>
      </c>
      <c r="F8" s="0" t="n">
        <v>228</v>
      </c>
      <c r="G8" s="0" t="n">
        <v>46</v>
      </c>
      <c r="H8" s="0" t="n">
        <v>22</v>
      </c>
      <c r="I8" s="0" t="n">
        <v>8</v>
      </c>
      <c r="J8" s="0" t="n">
        <v>9</v>
      </c>
      <c r="K8" s="0" t="n">
        <v>2</v>
      </c>
      <c r="L8" s="0" t="n">
        <v>1.474</v>
      </c>
      <c r="N8" s="0" t="n">
        <f aca="false">IF((K8+L8)&gt;0,ROUND(K8/(K8+L8),3),0)</f>
        <v>0.576</v>
      </c>
    </row>
    <row r="9" customFormat="false" ht="15" hidden="false" customHeight="false" outlineLevel="0" collapsed="false">
      <c r="A9" s="0" t="n">
        <v>6</v>
      </c>
      <c r="B9" s="0" t="s">
        <v>103</v>
      </c>
      <c r="C9" s="0" t="s">
        <v>16</v>
      </c>
      <c r="D9" s="0" t="n">
        <v>74.2</v>
      </c>
      <c r="E9" s="0" t="n">
        <v>130</v>
      </c>
      <c r="F9" s="0" t="n">
        <v>159</v>
      </c>
      <c r="G9" s="0" t="n">
        <v>35</v>
      </c>
      <c r="H9" s="0" t="n">
        <v>19</v>
      </c>
      <c r="I9" s="0" t="n">
        <v>3</v>
      </c>
      <c r="J9" s="0" t="n">
        <v>10</v>
      </c>
      <c r="K9" s="0" t="n">
        <v>2</v>
      </c>
      <c r="L9" s="0" t="n">
        <v>1.752</v>
      </c>
      <c r="N9" s="0" t="n">
        <f aca="false">IF((K9+L9)&gt;0,ROUND(K9/(K9+L9),3),0)</f>
        <v>0.533</v>
      </c>
    </row>
    <row r="10" customFormat="false" ht="15" hidden="false" customHeight="false" outlineLevel="0" collapsed="false">
      <c r="A10" s="0" t="n">
        <v>7</v>
      </c>
      <c r="B10" s="0" t="s">
        <v>104</v>
      </c>
      <c r="C10" s="0" t="s">
        <v>16</v>
      </c>
      <c r="D10" s="0" t="n">
        <v>77</v>
      </c>
      <c r="E10" s="0" t="n">
        <v>143</v>
      </c>
      <c r="F10" s="0" t="n">
        <v>148</v>
      </c>
      <c r="G10" s="0" t="n">
        <v>60</v>
      </c>
      <c r="H10" s="0" t="n">
        <v>31</v>
      </c>
      <c r="I10" s="0" t="n">
        <v>5</v>
      </c>
      <c r="J10" s="0" t="n">
        <v>8</v>
      </c>
      <c r="K10" s="0" t="n">
        <v>1</v>
      </c>
      <c r="L10" s="0" t="n">
        <v>1.857</v>
      </c>
      <c r="N10" s="0" t="n">
        <f aca="false">IF((K10+L10)&gt;0,ROUND(K10/(K10+L10),3),0)</f>
        <v>0.35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106</v>
      </c>
      <c r="C4" s="0" t="s">
        <v>16</v>
      </c>
      <c r="D4" s="0" t="n">
        <v>88.2</v>
      </c>
      <c r="E4" s="0" t="n">
        <v>91</v>
      </c>
      <c r="F4" s="0" t="n">
        <v>130</v>
      </c>
      <c r="G4" s="0" t="n">
        <v>32</v>
      </c>
      <c r="H4" s="0" t="n">
        <v>13</v>
      </c>
      <c r="I4" s="0" t="n">
        <v>8</v>
      </c>
      <c r="J4" s="0" t="n">
        <v>5</v>
      </c>
      <c r="K4" s="0" t="n">
        <v>2</v>
      </c>
      <c r="L4" s="0" t="n">
        <f aca="false">H6/G6</f>
        <v>0.416666666666667</v>
      </c>
      <c r="N4" s="0" t="n">
        <f aca="false">IF((K4+L4)&gt;0,ROUND(K4/(K4+L4),3),0)</f>
        <v>0.828</v>
      </c>
    </row>
    <row r="5" customFormat="false" ht="15" hidden="false" customHeight="false" outlineLevel="0" collapsed="false">
      <c r="A5" s="0" t="n">
        <v>2</v>
      </c>
      <c r="B5" s="0" t="s">
        <v>107</v>
      </c>
      <c r="C5" s="0" t="s">
        <v>16</v>
      </c>
      <c r="D5" s="0" t="n">
        <v>125.1</v>
      </c>
      <c r="E5" s="0" t="n">
        <v>132</v>
      </c>
      <c r="F5" s="0" t="n">
        <v>186</v>
      </c>
      <c r="G5" s="0" t="n">
        <v>46</v>
      </c>
      <c r="H5" s="0" t="n">
        <v>26</v>
      </c>
      <c r="I5" s="0" t="n">
        <v>14</v>
      </c>
      <c r="J5" s="0" t="n">
        <v>4</v>
      </c>
      <c r="K5" s="0" t="n">
        <v>3</v>
      </c>
      <c r="L5" s="0" t="n">
        <f aca="false">H7/G7</f>
        <v>0.586206896551724</v>
      </c>
      <c r="N5" s="0" t="n">
        <f aca="false">IF((K5+L5)&gt;0,ROUND(K5/(K5+L5),3),0)</f>
        <v>0.837</v>
      </c>
    </row>
    <row r="6" customFormat="false" ht="15" hidden="false" customHeight="false" outlineLevel="0" collapsed="false">
      <c r="A6" s="0" t="n">
        <v>3</v>
      </c>
      <c r="B6" s="0" t="s">
        <v>69</v>
      </c>
      <c r="C6" s="0" t="s">
        <v>16</v>
      </c>
      <c r="D6" s="0" t="n">
        <v>160</v>
      </c>
      <c r="E6" s="0" t="n">
        <v>171</v>
      </c>
      <c r="F6" s="0" t="n">
        <v>229</v>
      </c>
      <c r="G6" s="0" t="n">
        <v>120</v>
      </c>
      <c r="H6" s="0" t="n">
        <v>50</v>
      </c>
      <c r="I6" s="0" t="n">
        <v>15</v>
      </c>
      <c r="J6" s="0" t="n">
        <v>11</v>
      </c>
      <c r="K6" s="0" t="n">
        <v>1</v>
      </c>
      <c r="L6" s="0" t="n">
        <f aca="false">H8/G8</f>
        <v>0.297872340425532</v>
      </c>
      <c r="N6" s="0" t="n">
        <f aca="false">IF((K6+L6)&gt;0,ROUND(K6/(K6+L6),3),0)</f>
        <v>0.77</v>
      </c>
    </row>
    <row r="7" customFormat="false" ht="15" hidden="false" customHeight="false" outlineLevel="0" collapsed="false">
      <c r="A7" s="0" t="n">
        <v>4</v>
      </c>
      <c r="B7" s="0" t="s">
        <v>83</v>
      </c>
      <c r="C7" s="0" t="s">
        <v>16</v>
      </c>
      <c r="D7" s="0" t="n">
        <v>143</v>
      </c>
      <c r="E7" s="0" t="n">
        <v>166</v>
      </c>
      <c r="F7" s="0" t="n">
        <v>204</v>
      </c>
      <c r="G7" s="0" t="n">
        <v>116</v>
      </c>
      <c r="H7" s="0" t="n">
        <v>68</v>
      </c>
      <c r="I7" s="0" t="n">
        <v>13</v>
      </c>
      <c r="J7" s="0" t="n">
        <v>11</v>
      </c>
      <c r="K7" s="0" t="n">
        <v>1</v>
      </c>
      <c r="L7" s="0" t="n">
        <f aca="false">H9/G9</f>
        <v>0.195121951219512</v>
      </c>
      <c r="N7" s="0" t="n">
        <f aca="false">IF((K7+L7)&gt;0,ROUND(K7/(K7+L7),3),0)</f>
        <v>0.837</v>
      </c>
    </row>
    <row r="8" customFormat="false" ht="15" hidden="false" customHeight="false" outlineLevel="0" collapsed="false">
      <c r="A8" s="0" t="n">
        <v>5</v>
      </c>
      <c r="B8" s="0" t="s">
        <v>108</v>
      </c>
      <c r="C8" s="0" t="s">
        <v>16</v>
      </c>
      <c r="D8" s="0" t="n">
        <v>73</v>
      </c>
      <c r="E8" s="0" t="n">
        <v>103</v>
      </c>
      <c r="F8" s="0" t="n">
        <v>132</v>
      </c>
      <c r="G8" s="0" t="n">
        <v>47</v>
      </c>
      <c r="H8" s="0" t="n">
        <v>14</v>
      </c>
      <c r="I8" s="0" t="n">
        <v>2</v>
      </c>
      <c r="J8" s="0" t="n">
        <v>10</v>
      </c>
      <c r="K8" s="0" t="n">
        <v>0</v>
      </c>
      <c r="L8" s="0" t="e">
        <f aca="false">H10/G10</f>
        <v>#DIV/0!</v>
      </c>
      <c r="N8" s="0" t="e">
        <f aca="false">IF((K8+L8)&gt;0,ROUND(K8/(K8+L8),3),0)</f>
        <v>#DIV/0!</v>
      </c>
    </row>
    <row r="9" customFormat="false" ht="15" hidden="false" customHeight="false" outlineLevel="0" collapsed="false">
      <c r="A9" s="0" t="n">
        <v>6</v>
      </c>
      <c r="B9" s="0" t="s">
        <v>104</v>
      </c>
      <c r="C9" s="0" t="s">
        <v>16</v>
      </c>
      <c r="D9" s="0" t="n">
        <v>44</v>
      </c>
      <c r="E9" s="0" t="n">
        <v>80</v>
      </c>
      <c r="F9" s="0" t="n">
        <v>82</v>
      </c>
      <c r="G9" s="0" t="n">
        <v>41</v>
      </c>
      <c r="H9" s="0" t="n">
        <v>8</v>
      </c>
      <c r="I9" s="0" t="n">
        <v>1</v>
      </c>
      <c r="J9" s="0" t="n">
        <v>7</v>
      </c>
      <c r="K9" s="0" t="n">
        <v>0</v>
      </c>
      <c r="L9" s="0" t="e">
        <f aca="false">H11/G11</f>
        <v>#DIV/0!</v>
      </c>
      <c r="N9" s="0" t="e">
        <f aca="false">IF((K9+L9)&gt;0,ROUND(K9/(K9+L9),3),0)</f>
        <v>#DIV/0!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83</v>
      </c>
      <c r="C4" s="0" t="s">
        <v>16</v>
      </c>
      <c r="D4" s="0" t="n">
        <v>128.1</v>
      </c>
      <c r="E4" s="0" t="n">
        <v>100</v>
      </c>
      <c r="F4" s="0" t="n">
        <v>202</v>
      </c>
      <c r="G4" s="0" t="n">
        <v>29</v>
      </c>
      <c r="H4" s="0" t="n">
        <v>25</v>
      </c>
      <c r="I4" s="0" t="n">
        <v>14</v>
      </c>
      <c r="J4" s="0" t="n">
        <v>5</v>
      </c>
      <c r="K4" s="0" t="n">
        <v>4</v>
      </c>
      <c r="L4" s="0" t="s">
        <v>110</v>
      </c>
      <c r="N4" s="0" t="e">
        <f aca="false">IF((K4+L4)&gt;0,ROUND(K4/(K4+L4),3),0)</f>
        <v>#VALUE!</v>
      </c>
    </row>
    <row r="5" customFormat="false" ht="15" hidden="false" customHeight="false" outlineLevel="0" collapsed="false">
      <c r="A5" s="0" t="n">
        <v>2</v>
      </c>
      <c r="B5" s="0" t="s">
        <v>111</v>
      </c>
      <c r="C5" s="0" t="s">
        <v>16</v>
      </c>
      <c r="D5" s="0" t="n">
        <v>101.2</v>
      </c>
      <c r="E5" s="0" t="n">
        <v>81</v>
      </c>
      <c r="F5" s="0" t="n">
        <v>136</v>
      </c>
      <c r="G5" s="0" t="n">
        <v>52</v>
      </c>
      <c r="H5" s="0" t="n">
        <v>25</v>
      </c>
      <c r="I5" s="0" t="n">
        <v>11</v>
      </c>
      <c r="J5" s="0" t="n">
        <v>2</v>
      </c>
      <c r="K5" s="0" t="n">
        <v>2</v>
      </c>
      <c r="L5" s="0" t="s">
        <v>112</v>
      </c>
      <c r="N5" s="0" t="e">
        <f aca="false">IF((K5+L5)&gt;0,ROUND(K5/(K5+L5),3),0)</f>
        <v>#VALUE!</v>
      </c>
    </row>
    <row r="6" customFormat="false" ht="15" hidden="false" customHeight="false" outlineLevel="0" collapsed="false">
      <c r="A6" s="0" t="n">
        <v>3</v>
      </c>
      <c r="B6" s="0" t="s">
        <v>107</v>
      </c>
      <c r="C6" s="0" t="s">
        <v>16</v>
      </c>
      <c r="D6" s="0" t="n">
        <v>109</v>
      </c>
      <c r="E6" s="0" t="n">
        <v>128</v>
      </c>
      <c r="F6" s="0" t="n">
        <v>180</v>
      </c>
      <c r="G6" s="0" t="n">
        <v>42</v>
      </c>
      <c r="H6" s="0" t="n">
        <v>23</v>
      </c>
      <c r="I6" s="0" t="n">
        <v>12</v>
      </c>
      <c r="J6" s="0" t="n">
        <v>9</v>
      </c>
      <c r="K6" s="0" t="n">
        <v>1</v>
      </c>
      <c r="L6" s="0" t="s">
        <v>113</v>
      </c>
      <c r="N6" s="0" t="e">
        <f aca="false">IF((K6+L6)&gt;0,ROUND(K6/(K6+L6),3),0)</f>
        <v>#VALUE!</v>
      </c>
    </row>
    <row r="7" customFormat="false" ht="15" hidden="false" customHeight="false" outlineLevel="0" collapsed="false">
      <c r="A7" s="0" t="n">
        <v>4</v>
      </c>
      <c r="B7" s="0" t="s">
        <v>114</v>
      </c>
      <c r="C7" s="0" t="s">
        <v>16</v>
      </c>
      <c r="D7" s="0" t="n">
        <v>72</v>
      </c>
      <c r="E7" s="0" t="n">
        <v>88</v>
      </c>
      <c r="F7" s="0" t="n">
        <v>119</v>
      </c>
      <c r="G7" s="0" t="n">
        <v>21</v>
      </c>
      <c r="H7" s="0" t="n">
        <v>13</v>
      </c>
      <c r="I7" s="0" t="n">
        <v>6</v>
      </c>
      <c r="J7" s="0" t="n">
        <v>5</v>
      </c>
      <c r="K7" s="0" t="n">
        <v>1</v>
      </c>
      <c r="L7" s="0" t="s">
        <v>115</v>
      </c>
      <c r="N7" s="0" t="e">
        <f aca="false">IF((K7+L7)&gt;0,ROUND(K7/(K7+L7),3),0)</f>
        <v>#VALUE!</v>
      </c>
    </row>
    <row r="8" customFormat="false" ht="15" hidden="false" customHeight="false" outlineLevel="0" collapsed="false">
      <c r="A8" s="0" t="n">
        <v>5</v>
      </c>
      <c r="B8" s="0" t="s">
        <v>116</v>
      </c>
      <c r="C8" s="0" t="s">
        <v>16</v>
      </c>
      <c r="D8" s="0" t="n">
        <v>52</v>
      </c>
      <c r="E8" s="0" t="n">
        <v>65</v>
      </c>
      <c r="F8" s="0" t="n">
        <v>92</v>
      </c>
      <c r="G8" s="0" t="n">
        <v>23</v>
      </c>
      <c r="H8" s="0" t="n">
        <v>10</v>
      </c>
      <c r="I8" s="0" t="n">
        <v>4</v>
      </c>
      <c r="J8" s="0" t="n">
        <v>5</v>
      </c>
      <c r="K8" s="0" t="n">
        <v>0</v>
      </c>
      <c r="L8" s="0" t="s">
        <v>117</v>
      </c>
      <c r="N8" s="0" t="e">
        <f aca="false">IF((K8+L8)&gt;0,ROUND(K8/(K8+L8),3),0)</f>
        <v>#VALUE!</v>
      </c>
    </row>
    <row r="9" customFormat="false" ht="15" hidden="false" customHeight="false" outlineLevel="0" collapsed="false">
      <c r="A9" s="0" t="n">
        <v>6</v>
      </c>
      <c r="B9" s="0" t="s">
        <v>118</v>
      </c>
      <c r="C9" s="0" t="s">
        <v>16</v>
      </c>
      <c r="D9" s="0" t="n">
        <v>127</v>
      </c>
      <c r="E9" s="0" t="n">
        <v>159</v>
      </c>
      <c r="F9" s="0" t="n">
        <v>245</v>
      </c>
      <c r="G9" s="0" t="n">
        <v>34</v>
      </c>
      <c r="H9" s="0" t="n">
        <v>13</v>
      </c>
      <c r="I9" s="0" t="n">
        <v>9</v>
      </c>
      <c r="J9" s="0" t="n">
        <v>11</v>
      </c>
      <c r="K9" s="0" t="n">
        <v>3</v>
      </c>
      <c r="L9" s="0" t="s">
        <v>117</v>
      </c>
      <c r="N9" s="0" t="e">
        <f aca="false">IF((K9+L9)&gt;0,ROUND(K9/(K9+L9),3),0)</f>
        <v>#VALUE!</v>
      </c>
    </row>
    <row r="10" customFormat="false" ht="15" hidden="false" customHeight="false" outlineLevel="0" collapsed="false">
      <c r="A10" s="0" t="n">
        <v>7</v>
      </c>
      <c r="B10" s="0" t="s">
        <v>69</v>
      </c>
      <c r="C10" s="0" t="s">
        <v>16</v>
      </c>
      <c r="D10" s="0" t="n">
        <v>87.1</v>
      </c>
      <c r="E10" s="0" t="n">
        <v>151</v>
      </c>
      <c r="F10" s="0" t="n">
        <v>160</v>
      </c>
      <c r="G10" s="0" t="n">
        <v>82</v>
      </c>
      <c r="H10" s="0" t="n">
        <v>23</v>
      </c>
      <c r="I10" s="0" t="n">
        <v>2</v>
      </c>
      <c r="J10" s="0" t="n">
        <v>14</v>
      </c>
      <c r="K10" s="0" t="n">
        <v>1</v>
      </c>
      <c r="L10" s="0" t="s">
        <v>119</v>
      </c>
      <c r="N10" s="0" t="e">
        <f aca="false">IF((K10+L10)&gt;0,ROUND(K10/(K10+L10),3),0)</f>
        <v>#VALUE!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121</v>
      </c>
      <c r="C4" s="0" t="s">
        <v>16</v>
      </c>
      <c r="D4" s="0" t="n">
        <v>120.2</v>
      </c>
      <c r="E4" s="0" t="n">
        <v>126</v>
      </c>
      <c r="F4" s="0" t="n">
        <v>161</v>
      </c>
      <c r="G4" s="0" t="n">
        <v>41</v>
      </c>
      <c r="H4" s="0" t="n">
        <v>38</v>
      </c>
      <c r="I4" s="0" t="n">
        <v>9</v>
      </c>
      <c r="J4" s="0" t="n">
        <v>11</v>
      </c>
      <c r="K4" s="0" t="n">
        <v>1</v>
      </c>
      <c r="L4" s="0" t="s">
        <v>122</v>
      </c>
      <c r="N4" s="0" t="e">
        <f aca="false">IF((K4+L4)&gt;0,ROUND(K4/(K4+L4),3),0)</f>
        <v>#VALUE!</v>
      </c>
    </row>
    <row r="5" customFormat="false" ht="15" hidden="false" customHeight="false" outlineLevel="0" collapsed="false">
      <c r="A5" s="0" t="n">
        <v>2</v>
      </c>
      <c r="B5" s="0" t="s">
        <v>107</v>
      </c>
      <c r="C5" s="0" t="s">
        <v>16</v>
      </c>
      <c r="D5" s="0" t="n">
        <v>116</v>
      </c>
      <c r="E5" s="0" t="n">
        <v>138</v>
      </c>
      <c r="F5" s="0" t="n">
        <v>198</v>
      </c>
      <c r="G5" s="0" t="n">
        <v>31</v>
      </c>
      <c r="H5" s="0" t="n">
        <v>16</v>
      </c>
      <c r="I5" s="0" t="n">
        <v>14</v>
      </c>
      <c r="J5" s="0" t="n">
        <v>4</v>
      </c>
      <c r="K5" s="0" t="n">
        <v>1</v>
      </c>
      <c r="L5" s="0" t="s">
        <v>123</v>
      </c>
      <c r="N5" s="0" t="e">
        <f aca="false">IF((K5+L5)&gt;0,ROUND(K5/(K5+L5),3),0)</f>
        <v>#VALUE!</v>
      </c>
    </row>
    <row r="6" customFormat="false" ht="15" hidden="false" customHeight="false" outlineLevel="0" collapsed="false">
      <c r="A6" s="0" t="n">
        <v>3</v>
      </c>
      <c r="B6" s="0" t="s">
        <v>124</v>
      </c>
      <c r="C6" s="0" t="s">
        <v>16</v>
      </c>
      <c r="D6" s="0" t="n">
        <v>139</v>
      </c>
      <c r="E6" s="0" t="n">
        <v>179</v>
      </c>
      <c r="F6" s="0" t="n">
        <v>275</v>
      </c>
      <c r="G6" s="0" t="n">
        <v>59</v>
      </c>
      <c r="H6" s="0" t="n">
        <v>15</v>
      </c>
      <c r="I6" s="0" t="n">
        <v>11</v>
      </c>
      <c r="J6" s="0" t="n">
        <v>11</v>
      </c>
      <c r="K6" s="0" t="n">
        <v>3</v>
      </c>
      <c r="L6" s="0" t="s">
        <v>125</v>
      </c>
      <c r="N6" s="0" t="e">
        <f aca="false">IF((K6+L6)&gt;0,ROUND(K6/(K6+L6),3),0)</f>
        <v>#VALUE!</v>
      </c>
    </row>
    <row r="7" customFormat="false" ht="15" hidden="false" customHeight="false" outlineLevel="0" collapsed="false">
      <c r="A7" s="0" t="n">
        <v>4</v>
      </c>
      <c r="B7" s="0" t="s">
        <v>126</v>
      </c>
      <c r="C7" s="0" t="s">
        <v>16</v>
      </c>
      <c r="D7" s="0" t="n">
        <v>124</v>
      </c>
      <c r="E7" s="0" t="n">
        <v>161</v>
      </c>
      <c r="F7" s="0" t="n">
        <v>229</v>
      </c>
      <c r="G7" s="0" t="n">
        <v>32</v>
      </c>
      <c r="H7" s="0" t="n">
        <v>14</v>
      </c>
      <c r="I7" s="0" t="n">
        <v>11</v>
      </c>
      <c r="J7" s="0" t="n">
        <v>9</v>
      </c>
      <c r="K7" s="0" t="n">
        <v>2</v>
      </c>
      <c r="L7" s="0" t="s">
        <v>127</v>
      </c>
      <c r="N7" s="0" t="e">
        <f aca="false">IF((K7+L7)&gt;0,ROUND(K7/(K7+L7),3),0)</f>
        <v>#VALUE!</v>
      </c>
    </row>
    <row r="8" customFormat="false" ht="15" hidden="false" customHeight="false" outlineLevel="0" collapsed="false">
      <c r="A8" s="0" t="n">
        <v>5</v>
      </c>
      <c r="B8" s="0" t="s">
        <v>104</v>
      </c>
      <c r="C8" s="0" t="s">
        <v>16</v>
      </c>
      <c r="D8" s="0" t="n">
        <v>100.1</v>
      </c>
      <c r="E8" s="0" t="n">
        <v>141</v>
      </c>
      <c r="F8" s="0" t="n">
        <v>170</v>
      </c>
      <c r="G8" s="0" t="n">
        <v>61</v>
      </c>
      <c r="H8" s="0" t="n">
        <v>54</v>
      </c>
      <c r="I8" s="0" t="n">
        <v>9</v>
      </c>
      <c r="J8" s="0" t="n">
        <v>10</v>
      </c>
      <c r="K8" s="0" t="n">
        <v>1</v>
      </c>
      <c r="L8" s="0" t="s">
        <v>128</v>
      </c>
      <c r="N8" s="0" t="e">
        <f aca="false">IF((K8+L8)&gt;0,ROUND(K8/(K8+L8),3),0)</f>
        <v>#VALUE!</v>
      </c>
    </row>
    <row r="9" customFormat="false" ht="15" hidden="false" customHeight="false" outlineLevel="0" collapsed="false">
      <c r="A9" s="0" t="n">
        <v>6</v>
      </c>
      <c r="B9" s="0" t="s">
        <v>108</v>
      </c>
      <c r="C9" s="0" t="s">
        <v>16</v>
      </c>
      <c r="D9" s="0" t="n">
        <v>101</v>
      </c>
      <c r="E9" s="0" t="n">
        <v>143</v>
      </c>
      <c r="F9" s="0" t="n">
        <v>181</v>
      </c>
      <c r="G9" s="0" t="n">
        <v>47</v>
      </c>
      <c r="H9" s="0" t="n">
        <v>17</v>
      </c>
      <c r="I9" s="0" t="n">
        <v>5</v>
      </c>
      <c r="J9" s="0" t="n">
        <v>13</v>
      </c>
      <c r="K9" s="0" t="n">
        <v>1</v>
      </c>
      <c r="L9" s="0" t="s">
        <v>129</v>
      </c>
      <c r="N9" s="0" t="e">
        <f aca="false">IF((K9+L9)&gt;0,ROUND(K9/(K9+L9),3),0)</f>
        <v>#VALUE!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83</v>
      </c>
      <c r="C4" s="0" t="s">
        <v>16</v>
      </c>
      <c r="D4" s="0" t="n">
        <v>138</v>
      </c>
      <c r="E4" s="0" t="n">
        <v>166</v>
      </c>
      <c r="F4" s="0" t="n">
        <v>246</v>
      </c>
      <c r="G4" s="0" t="n">
        <v>48</v>
      </c>
      <c r="H4" s="0" t="n">
        <v>33</v>
      </c>
      <c r="I4" s="0" t="n">
        <v>13</v>
      </c>
      <c r="J4" s="0" t="n">
        <v>6</v>
      </c>
      <c r="K4" s="0" t="n">
        <v>5</v>
      </c>
      <c r="L4" s="0" t="s">
        <v>131</v>
      </c>
      <c r="N4" s="0" t="e">
        <f aca="false">IF((K4+L4)&gt;0,ROUND(K4/(K4+L4),3),0)</f>
        <v>#VALUE!</v>
      </c>
    </row>
    <row r="5" customFormat="false" ht="15" hidden="false" customHeight="false" outlineLevel="0" collapsed="false">
      <c r="A5" s="0" t="n">
        <v>2</v>
      </c>
      <c r="B5" s="0" t="s">
        <v>132</v>
      </c>
      <c r="C5" s="0" t="s">
        <v>16</v>
      </c>
      <c r="D5" s="0" t="n">
        <v>103</v>
      </c>
      <c r="E5" s="0" t="n">
        <v>125</v>
      </c>
      <c r="F5" s="0" t="n">
        <v>181</v>
      </c>
      <c r="G5" s="0" t="n">
        <v>34</v>
      </c>
      <c r="H5" s="0" t="n">
        <v>31</v>
      </c>
      <c r="I5" s="0" t="n">
        <v>6</v>
      </c>
      <c r="J5" s="0" t="n">
        <v>10</v>
      </c>
      <c r="K5" s="0" t="n">
        <v>2</v>
      </c>
      <c r="L5" s="0" t="s">
        <v>133</v>
      </c>
      <c r="N5" s="0" t="e">
        <f aca="false">IF((K5+L5)&gt;0,ROUND(K5/(K5+L5),3),0)</f>
        <v>#VALUE!</v>
      </c>
    </row>
    <row r="6" customFormat="false" ht="15" hidden="false" customHeight="false" outlineLevel="0" collapsed="false">
      <c r="A6" s="0" t="n">
        <v>3</v>
      </c>
      <c r="B6" s="0" t="s">
        <v>124</v>
      </c>
      <c r="C6" s="0" t="s">
        <v>16</v>
      </c>
      <c r="D6" s="0" t="n">
        <v>137.2</v>
      </c>
      <c r="E6" s="0" t="n">
        <v>182</v>
      </c>
      <c r="F6" s="0" t="n">
        <v>262</v>
      </c>
      <c r="G6" s="0" t="n">
        <v>56</v>
      </c>
      <c r="H6" s="0" t="n">
        <v>16</v>
      </c>
      <c r="I6" s="0" t="n">
        <v>15</v>
      </c>
      <c r="J6" s="0" t="n">
        <v>9</v>
      </c>
      <c r="K6" s="0" t="n">
        <v>1</v>
      </c>
      <c r="L6" s="0" t="s">
        <v>134</v>
      </c>
      <c r="N6" s="0" t="e">
        <f aca="false">IF((K6+L6)&gt;0,ROUND(K6/(K6+L6),3),0)</f>
        <v>#VALUE!</v>
      </c>
    </row>
    <row r="7" customFormat="false" ht="15" hidden="false" customHeight="false" outlineLevel="0" collapsed="false">
      <c r="A7" s="0" t="n">
        <v>4</v>
      </c>
      <c r="B7" s="0" t="s">
        <v>135</v>
      </c>
      <c r="C7" s="0" t="s">
        <v>16</v>
      </c>
      <c r="D7" s="0" t="n">
        <v>118.1</v>
      </c>
      <c r="E7" s="0" t="n">
        <v>158</v>
      </c>
      <c r="F7" s="0" t="n">
        <v>222</v>
      </c>
      <c r="G7" s="0" t="n">
        <v>67</v>
      </c>
      <c r="H7" s="0" t="n">
        <v>27</v>
      </c>
      <c r="I7" s="0" t="n">
        <v>13</v>
      </c>
      <c r="J7" s="0" t="n">
        <v>6</v>
      </c>
      <c r="K7" s="0" t="n">
        <v>2</v>
      </c>
      <c r="L7" s="0" t="s">
        <v>136</v>
      </c>
      <c r="N7" s="0" t="e">
        <f aca="false">IF((K7+L7)&gt;0,ROUND(K7/(K7+L7),3),0)</f>
        <v>#VALUE!</v>
      </c>
    </row>
    <row r="8" customFormat="false" ht="15" hidden="false" customHeight="false" outlineLevel="0" collapsed="false">
      <c r="A8" s="0" t="n">
        <v>5</v>
      </c>
      <c r="B8" s="0" t="s">
        <v>137</v>
      </c>
      <c r="C8" s="0" t="s">
        <v>16</v>
      </c>
      <c r="D8" s="0" t="n">
        <v>92.2</v>
      </c>
      <c r="E8" s="0" t="n">
        <v>143</v>
      </c>
      <c r="F8" s="0" t="n">
        <v>210</v>
      </c>
      <c r="G8" s="0" t="n">
        <v>13</v>
      </c>
      <c r="H8" s="0" t="n">
        <v>11</v>
      </c>
      <c r="I8" s="0" t="n">
        <v>5</v>
      </c>
      <c r="J8" s="0" t="n">
        <v>9</v>
      </c>
      <c r="K8" s="0" t="n">
        <v>3</v>
      </c>
      <c r="L8" s="0" t="s">
        <v>138</v>
      </c>
      <c r="N8" s="0" t="e">
        <f aca="false">IF((K8+L8)&gt;0,ROUND(K8/(K8+L8),3),0)</f>
        <v>#VALUE!</v>
      </c>
    </row>
    <row r="9" customFormat="false" ht="15" hidden="false" customHeight="false" outlineLevel="0" collapsed="false">
      <c r="A9" s="0" t="n">
        <v>6</v>
      </c>
      <c r="B9" s="0" t="s">
        <v>139</v>
      </c>
      <c r="C9" s="0" t="s">
        <v>16</v>
      </c>
      <c r="D9" s="0" t="n">
        <v>89.1</v>
      </c>
      <c r="E9" s="0" t="n">
        <v>144</v>
      </c>
      <c r="F9" s="0" t="n">
        <v>151</v>
      </c>
      <c r="G9" s="0" t="n">
        <v>83</v>
      </c>
      <c r="H9" s="0" t="n">
        <v>47</v>
      </c>
      <c r="I9" s="0" t="n">
        <v>7</v>
      </c>
      <c r="J9" s="0" t="n">
        <v>10</v>
      </c>
      <c r="K9" s="0" t="n">
        <v>1</v>
      </c>
      <c r="L9" s="0" t="s">
        <v>140</v>
      </c>
      <c r="N9" s="0" t="e">
        <f aca="false">IF((K9+L9)&gt;0,ROUND(K9/(K9+L9),3),0)</f>
        <v>#VALUE!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142</v>
      </c>
      <c r="C4" s="0" t="s">
        <v>16</v>
      </c>
      <c r="D4" s="0" t="n">
        <v>56.1</v>
      </c>
      <c r="E4" s="0" t="n">
        <v>41</v>
      </c>
      <c r="F4" s="0" t="n">
        <v>70</v>
      </c>
      <c r="G4" s="0" t="n">
        <v>41</v>
      </c>
      <c r="H4" s="0" t="n">
        <v>12</v>
      </c>
      <c r="I4" s="0" t="n">
        <v>6</v>
      </c>
      <c r="J4" s="0" t="n">
        <v>2</v>
      </c>
      <c r="K4" s="0" t="n">
        <v>1</v>
      </c>
      <c r="L4" s="0" t="s">
        <v>143</v>
      </c>
      <c r="N4" s="0" t="e">
        <f aca="false">IF((K4+L4)&gt;0,ROUND(K4/(K4+L4),3),0)</f>
        <v>#VALUE!</v>
      </c>
    </row>
    <row r="5" customFormat="false" ht="15" hidden="false" customHeight="false" outlineLevel="0" collapsed="false">
      <c r="A5" s="0" t="n">
        <v>2</v>
      </c>
      <c r="B5" s="0" t="s">
        <v>144</v>
      </c>
      <c r="C5" s="0" t="s">
        <v>16</v>
      </c>
      <c r="D5" s="0" t="n">
        <v>99</v>
      </c>
      <c r="E5" s="0" t="n">
        <v>104</v>
      </c>
      <c r="F5" s="0" t="n">
        <v>174</v>
      </c>
      <c r="G5" s="0" t="n">
        <v>37</v>
      </c>
      <c r="H5" s="0" t="n">
        <v>14</v>
      </c>
      <c r="I5" s="0" t="n">
        <v>10</v>
      </c>
      <c r="J5" s="0" t="n">
        <v>6</v>
      </c>
      <c r="K5" s="0" t="n">
        <v>1</v>
      </c>
      <c r="L5" s="0" t="s">
        <v>122</v>
      </c>
      <c r="N5" s="0" t="e">
        <f aca="false">IF((K5+L5)&gt;0,ROUND(K5/(K5+L5),3),0)</f>
        <v>#VALUE!</v>
      </c>
    </row>
    <row r="6" customFormat="false" ht="15" hidden="false" customHeight="false" outlineLevel="0" collapsed="false">
      <c r="A6" s="0" t="n">
        <v>3</v>
      </c>
      <c r="B6" s="0" t="s">
        <v>135</v>
      </c>
      <c r="C6" s="0" t="s">
        <v>16</v>
      </c>
      <c r="D6" s="0" t="n">
        <v>80</v>
      </c>
      <c r="E6" s="0" t="n">
        <v>99</v>
      </c>
      <c r="F6" s="0" t="n">
        <v>135</v>
      </c>
      <c r="G6" s="0" t="n">
        <v>50</v>
      </c>
      <c r="H6" s="0" t="n">
        <v>28</v>
      </c>
      <c r="I6" s="0" t="n">
        <v>4</v>
      </c>
      <c r="J6" s="0" t="n">
        <v>10</v>
      </c>
      <c r="K6" s="0" t="n">
        <v>0</v>
      </c>
      <c r="L6" s="0" t="s">
        <v>145</v>
      </c>
      <c r="N6" s="0" t="e">
        <f aca="false">IF((K6+L6)&gt;0,ROUND(K6/(K6+L6),3),0)</f>
        <v>#VALUE!</v>
      </c>
    </row>
    <row r="7" customFormat="false" ht="15" hidden="false" customHeight="false" outlineLevel="0" collapsed="false">
      <c r="A7" s="0" t="n">
        <v>4</v>
      </c>
      <c r="B7" s="0" t="s">
        <v>107</v>
      </c>
      <c r="C7" s="0" t="s">
        <v>16</v>
      </c>
      <c r="D7" s="0" t="n">
        <v>100.1</v>
      </c>
      <c r="E7" s="0" t="n">
        <v>128</v>
      </c>
      <c r="F7" s="0" t="n">
        <v>183</v>
      </c>
      <c r="G7" s="0" t="n">
        <v>29</v>
      </c>
      <c r="H7" s="0" t="n">
        <v>25</v>
      </c>
      <c r="I7" s="0" t="n">
        <v>11</v>
      </c>
      <c r="J7" s="0" t="n">
        <v>6</v>
      </c>
      <c r="K7" s="0" t="n">
        <v>1</v>
      </c>
      <c r="L7" s="0" t="s">
        <v>146</v>
      </c>
      <c r="N7" s="0" t="e">
        <f aca="false">IF((K7+L7)&gt;0,ROUND(K7/(K7+L7),3),0)</f>
        <v>#VALUE!</v>
      </c>
    </row>
    <row r="8" customFormat="false" ht="15" hidden="false" customHeight="false" outlineLevel="0" collapsed="false">
      <c r="A8" s="0" t="n">
        <v>5</v>
      </c>
      <c r="B8" s="0" t="s">
        <v>147</v>
      </c>
      <c r="C8" s="0" t="s">
        <v>16</v>
      </c>
      <c r="D8" s="0" t="n">
        <v>98</v>
      </c>
      <c r="E8" s="0" t="n">
        <v>128</v>
      </c>
      <c r="F8" s="0" t="n">
        <v>207</v>
      </c>
      <c r="G8" s="0" t="n">
        <v>32</v>
      </c>
      <c r="H8" s="0" t="n">
        <v>16</v>
      </c>
      <c r="I8" s="0" t="n">
        <v>8</v>
      </c>
      <c r="J8" s="0" t="n">
        <v>10</v>
      </c>
      <c r="K8" s="0" t="n">
        <v>0</v>
      </c>
      <c r="L8" s="0" t="s">
        <v>148</v>
      </c>
      <c r="N8" s="0" t="e">
        <f aca="false">IF((K8+L8)&gt;0,ROUND(K8/(K8+L8),3),0)</f>
        <v>#VALUE!</v>
      </c>
    </row>
    <row r="9" customFormat="false" ht="15" hidden="false" customHeight="false" outlineLevel="0" collapsed="false">
      <c r="A9" s="0" t="n">
        <v>6</v>
      </c>
      <c r="B9" s="0" t="s">
        <v>83</v>
      </c>
      <c r="C9" s="0" t="s">
        <v>16</v>
      </c>
      <c r="D9" s="0" t="n">
        <v>81.2</v>
      </c>
      <c r="E9" s="0" t="n">
        <v>109</v>
      </c>
      <c r="F9" s="0" t="n">
        <v>175</v>
      </c>
      <c r="G9" s="0" t="n">
        <v>28</v>
      </c>
      <c r="H9" s="0" t="n">
        <v>32</v>
      </c>
      <c r="I9" s="0" t="n">
        <v>4</v>
      </c>
      <c r="J9" s="0" t="n">
        <v>10</v>
      </c>
      <c r="K9" s="0" t="n">
        <v>1</v>
      </c>
      <c r="L9" s="0" t="s">
        <v>136</v>
      </c>
      <c r="N9" s="0" t="e">
        <f aca="false">IF((K9+L9)&gt;0,ROUND(K9/(K9+L9),3),0)</f>
        <v>#VALUE!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151</v>
      </c>
      <c r="E4" s="0" t="n">
        <v>22</v>
      </c>
      <c r="F4" s="0" t="n">
        <v>128</v>
      </c>
      <c r="G4" s="0" t="n">
        <v>105</v>
      </c>
      <c r="H4" s="0" t="n">
        <v>183</v>
      </c>
      <c r="I4" s="0" t="n">
        <v>37</v>
      </c>
      <c r="J4" s="0" t="n">
        <v>40</v>
      </c>
      <c r="K4" s="0" t="n">
        <v>14</v>
      </c>
      <c r="L4" s="0" t="n">
        <v>7</v>
      </c>
      <c r="M4" s="0" t="n">
        <v>1</v>
      </c>
      <c r="N4" s="0" t="n">
        <f aca="false">IF((K4+L4)&gt;0,ROUND(K4/(K4+L4),3),0)</f>
        <v>0.667</v>
      </c>
    </row>
    <row r="5" customFormat="false" ht="15" hidden="false" customHeight="false" outlineLevel="0" collapsed="false">
      <c r="A5" s="0" t="n">
        <v>2</v>
      </c>
      <c r="B5" s="0" t="s">
        <v>152</v>
      </c>
      <c r="C5" s="0" t="s">
        <v>16</v>
      </c>
      <c r="D5" s="0" t="s">
        <v>153</v>
      </c>
      <c r="E5" s="0" t="n">
        <v>16</v>
      </c>
      <c r="F5" s="0" t="n">
        <v>87.33</v>
      </c>
      <c r="G5" s="0" t="n">
        <v>87</v>
      </c>
      <c r="H5" s="0" t="n">
        <v>145</v>
      </c>
      <c r="I5" s="0" t="n">
        <v>25</v>
      </c>
      <c r="J5" s="0" t="n">
        <v>12</v>
      </c>
      <c r="K5" s="0" t="n">
        <v>8</v>
      </c>
      <c r="L5" s="0" t="n">
        <v>7</v>
      </c>
      <c r="M5" s="0" t="n">
        <v>0</v>
      </c>
      <c r="N5" s="0" t="n">
        <f aca="false">IF((K5+L5)&gt;0,ROUND(K5/(K5+L5),3),0)</f>
        <v>0.533</v>
      </c>
    </row>
    <row r="6" customFormat="false" ht="15" hidden="false" customHeight="false" outlineLevel="0" collapsed="false">
      <c r="A6" s="0" t="n">
        <v>3</v>
      </c>
      <c r="B6" s="0" t="s">
        <v>154</v>
      </c>
      <c r="C6" s="0" t="s">
        <v>16</v>
      </c>
      <c r="D6" s="0" t="s">
        <v>155</v>
      </c>
      <c r="E6" s="0" t="n">
        <v>24</v>
      </c>
      <c r="F6" s="0" t="n">
        <v>136</v>
      </c>
      <c r="G6" s="0" t="n">
        <v>140</v>
      </c>
      <c r="H6" s="0" t="n">
        <v>179</v>
      </c>
      <c r="I6" s="0" t="n">
        <v>123</v>
      </c>
      <c r="J6" s="0" t="n">
        <v>47</v>
      </c>
      <c r="K6" s="0" t="n">
        <v>17</v>
      </c>
      <c r="L6" s="0" t="n">
        <v>5</v>
      </c>
      <c r="M6" s="0" t="n">
        <v>2</v>
      </c>
      <c r="N6" s="0" t="n">
        <f aca="false">IF((K6+L6)&gt;0,ROUND(K6/(K6+L6),3),0)</f>
        <v>0.773</v>
      </c>
    </row>
    <row r="7" customFormat="false" ht="15" hidden="false" customHeight="false" outlineLevel="0" collapsed="false">
      <c r="A7" s="0" t="n">
        <v>4</v>
      </c>
      <c r="B7" s="0" t="s">
        <v>156</v>
      </c>
      <c r="C7" s="0" t="s">
        <v>16</v>
      </c>
      <c r="D7" s="0" t="s">
        <v>157</v>
      </c>
      <c r="E7" s="0" t="n">
        <v>24</v>
      </c>
      <c r="F7" s="0" t="n">
        <v>129.33</v>
      </c>
      <c r="G7" s="0" t="n">
        <v>174</v>
      </c>
      <c r="H7" s="0" t="n">
        <v>235</v>
      </c>
      <c r="I7" s="0" t="n">
        <v>44</v>
      </c>
      <c r="J7" s="0" t="n">
        <v>22</v>
      </c>
      <c r="K7" s="0" t="n">
        <v>12</v>
      </c>
      <c r="L7" s="0" t="n">
        <v>10</v>
      </c>
      <c r="M7" s="0" t="n">
        <v>2</v>
      </c>
      <c r="N7" s="0" t="n">
        <f aca="false">IF((K7+L7)&gt;0,ROUND(K7/(K7+L7),3),0)</f>
        <v>0.545</v>
      </c>
    </row>
    <row r="8" customFormat="false" ht="15" hidden="false" customHeight="false" outlineLevel="0" collapsed="false">
      <c r="A8" s="0" t="n">
        <v>5</v>
      </c>
      <c r="B8" s="0" t="s">
        <v>158</v>
      </c>
      <c r="C8" s="0" t="s">
        <v>16</v>
      </c>
      <c r="D8" s="0" t="s">
        <v>159</v>
      </c>
      <c r="E8" s="0" t="n">
        <v>23</v>
      </c>
      <c r="F8" s="0" t="n">
        <v>124.33</v>
      </c>
      <c r="G8" s="0" t="n">
        <v>188</v>
      </c>
      <c r="H8" s="0" t="n">
        <v>244</v>
      </c>
      <c r="I8" s="0" t="n">
        <v>79</v>
      </c>
      <c r="J8" s="0" t="n">
        <v>16</v>
      </c>
      <c r="K8" s="0" t="n">
        <v>9</v>
      </c>
      <c r="L8" s="0" t="n">
        <v>12</v>
      </c>
      <c r="M8" s="0" t="n">
        <v>1</v>
      </c>
      <c r="N8" s="0" t="n">
        <f aca="false">IF((K8+L8)&gt;0,ROUND(K8/(K8+L8),3),0)</f>
        <v>0.429</v>
      </c>
    </row>
    <row r="9" customFormat="false" ht="15" hidden="false" customHeight="false" outlineLevel="0" collapsed="false">
      <c r="A9" s="0" t="n">
        <v>6</v>
      </c>
      <c r="B9" s="0" t="s">
        <v>160</v>
      </c>
      <c r="C9" s="0" t="s">
        <v>16</v>
      </c>
      <c r="D9" s="0" t="s">
        <v>161</v>
      </c>
      <c r="E9" s="0" t="n">
        <v>23</v>
      </c>
      <c r="F9" s="0" t="n">
        <v>126</v>
      </c>
      <c r="G9" s="0" t="n">
        <v>240</v>
      </c>
      <c r="H9" s="0" t="n">
        <v>314</v>
      </c>
      <c r="I9" s="0" t="n">
        <v>36</v>
      </c>
      <c r="J9" s="0" t="n">
        <v>23</v>
      </c>
      <c r="K9" s="0" t="n">
        <v>1</v>
      </c>
      <c r="L9" s="0" t="n">
        <v>20</v>
      </c>
      <c r="M9" s="0" t="n">
        <v>2</v>
      </c>
      <c r="N9" s="0" t="n">
        <f aca="false">IF((K9+L9)&gt;0,ROUND(K9/(K9+L9),3),0)</f>
        <v>0.048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152</v>
      </c>
      <c r="C4" s="0" t="s">
        <v>16</v>
      </c>
      <c r="D4" s="0" t="s">
        <v>157</v>
      </c>
      <c r="E4" s="0" t="n">
        <v>18</v>
      </c>
      <c r="F4" s="0" t="n">
        <v>91</v>
      </c>
      <c r="G4" s="0" t="n">
        <v>107</v>
      </c>
      <c r="H4" s="0" t="n">
        <v>149</v>
      </c>
      <c r="I4" s="0" t="n">
        <v>36</v>
      </c>
      <c r="J4" s="0" t="n">
        <v>24</v>
      </c>
      <c r="K4" s="0" t="n">
        <v>10</v>
      </c>
      <c r="L4" s="0" t="n">
        <v>8</v>
      </c>
      <c r="M4" s="0" t="n">
        <v>0</v>
      </c>
      <c r="N4" s="0" t="n">
        <f aca="false">IF((K4+L4)&gt;0,ROUND(K4/(K4+L4),3),0)</f>
        <v>0.556</v>
      </c>
    </row>
    <row r="5" customFormat="false" ht="15" hidden="false" customHeight="false" outlineLevel="0" collapsed="false">
      <c r="A5" s="0" t="n">
        <v>2</v>
      </c>
      <c r="B5" s="0" t="s">
        <v>150</v>
      </c>
      <c r="C5" s="0" t="s">
        <v>16</v>
      </c>
      <c r="D5" s="0" t="s">
        <v>153</v>
      </c>
      <c r="E5" s="0" t="n">
        <v>21</v>
      </c>
      <c r="F5" s="0" t="n">
        <v>115</v>
      </c>
      <c r="G5" s="0" t="n">
        <v>137</v>
      </c>
      <c r="H5" s="0" t="n">
        <v>194</v>
      </c>
      <c r="I5" s="0" t="n">
        <v>56</v>
      </c>
      <c r="J5" s="0" t="n">
        <v>46</v>
      </c>
      <c r="K5" s="0" t="n">
        <v>8</v>
      </c>
      <c r="L5" s="0" t="n">
        <v>11</v>
      </c>
      <c r="M5" s="0" t="n">
        <v>2</v>
      </c>
      <c r="N5" s="0" t="n">
        <f aca="false">IF((K5+L5)&gt;0,ROUND(K5/(K5+L5),3),0)</f>
        <v>0.421</v>
      </c>
    </row>
    <row r="6" customFormat="false" ht="15" hidden="false" customHeight="false" outlineLevel="0" collapsed="false">
      <c r="A6" s="0" t="n">
        <v>3</v>
      </c>
      <c r="B6" s="0" t="s">
        <v>163</v>
      </c>
      <c r="C6" s="0" t="s">
        <v>16</v>
      </c>
      <c r="D6" s="0" t="s">
        <v>151</v>
      </c>
      <c r="E6" s="0" t="n">
        <v>22</v>
      </c>
      <c r="F6" s="0" t="n">
        <v>114.67</v>
      </c>
      <c r="G6" s="0" t="n">
        <v>139</v>
      </c>
      <c r="H6" s="0" t="n">
        <v>175</v>
      </c>
      <c r="I6" s="0" t="n">
        <v>103</v>
      </c>
      <c r="J6" s="0" t="n">
        <v>42</v>
      </c>
      <c r="K6" s="0" t="n">
        <v>11</v>
      </c>
      <c r="L6" s="0" t="n">
        <v>8</v>
      </c>
      <c r="M6" s="0" t="n">
        <v>3</v>
      </c>
      <c r="N6" s="0" t="n">
        <f aca="false">IF((K6+L6)&gt;0,ROUND(K6/(K6+L6),3),0)</f>
        <v>0.579</v>
      </c>
    </row>
    <row r="7" customFormat="false" ht="15" hidden="false" customHeight="false" outlineLevel="0" collapsed="false">
      <c r="A7" s="0" t="n">
        <v>4</v>
      </c>
      <c r="B7" s="0" t="s">
        <v>154</v>
      </c>
      <c r="C7" s="0" t="s">
        <v>16</v>
      </c>
      <c r="D7" s="0" t="s">
        <v>155</v>
      </c>
      <c r="E7" s="0" t="n">
        <v>24</v>
      </c>
      <c r="F7" s="0" t="n">
        <v>117.34</v>
      </c>
      <c r="G7" s="0" t="n">
        <v>155</v>
      </c>
      <c r="H7" s="0" t="n">
        <v>169</v>
      </c>
      <c r="I7" s="0" t="n">
        <v>134</v>
      </c>
      <c r="J7" s="0" t="n">
        <v>67</v>
      </c>
      <c r="K7" s="0" t="n">
        <v>11</v>
      </c>
      <c r="L7" s="0" t="n">
        <v>10</v>
      </c>
      <c r="M7" s="0" t="n">
        <v>2</v>
      </c>
      <c r="N7" s="0" t="n">
        <f aca="false">IF((K7+L7)&gt;0,ROUND(K7/(K7+L7),3),0)</f>
        <v>0.524</v>
      </c>
    </row>
    <row r="8" customFormat="false" ht="15" hidden="false" customHeight="false" outlineLevel="0" collapsed="false">
      <c r="A8" s="0" t="n">
        <v>5</v>
      </c>
      <c r="B8" s="0" t="s">
        <v>164</v>
      </c>
      <c r="C8" s="0" t="s">
        <v>16</v>
      </c>
      <c r="D8" s="0" t="s">
        <v>159</v>
      </c>
      <c r="E8" s="0" t="n">
        <v>18</v>
      </c>
      <c r="F8" s="0" t="n">
        <v>88.66</v>
      </c>
      <c r="G8" s="0" t="n">
        <v>126</v>
      </c>
      <c r="H8" s="0" t="n">
        <v>109</v>
      </c>
      <c r="I8" s="0" t="n">
        <v>120</v>
      </c>
      <c r="J8" s="0" t="n">
        <v>71</v>
      </c>
      <c r="K8" s="0" t="n">
        <v>10</v>
      </c>
      <c r="L8" s="0" t="n">
        <v>7</v>
      </c>
      <c r="M8" s="0" t="n">
        <v>0</v>
      </c>
      <c r="N8" s="0" t="n">
        <f aca="false">IF((K8+L8)&gt;0,ROUND(K8/(K8+L8),3),0)</f>
        <v>0.588</v>
      </c>
    </row>
    <row r="9" customFormat="false" ht="15" hidden="false" customHeight="false" outlineLevel="0" collapsed="false">
      <c r="A9" s="0" t="n">
        <v>6</v>
      </c>
      <c r="B9" s="0" t="s">
        <v>160</v>
      </c>
      <c r="C9" s="0" t="s">
        <v>16</v>
      </c>
      <c r="D9" s="0" t="s">
        <v>161</v>
      </c>
      <c r="E9" s="0" t="n">
        <v>22</v>
      </c>
      <c r="F9" s="0" t="n">
        <v>115.67</v>
      </c>
      <c r="G9" s="0" t="n">
        <v>182</v>
      </c>
      <c r="H9" s="0" t="n">
        <v>277</v>
      </c>
      <c r="I9" s="0" t="n">
        <v>22</v>
      </c>
      <c r="J9" s="0" t="n">
        <v>20</v>
      </c>
      <c r="K9" s="0" t="n">
        <v>7</v>
      </c>
      <c r="L9" s="0" t="n">
        <v>14</v>
      </c>
      <c r="M9" s="0" t="n">
        <v>1</v>
      </c>
      <c r="N9" s="0" t="n">
        <f aca="false">IF((K9+L9)&gt;0,ROUND(K9/(K9+L9),3),0)</f>
        <v>0.333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152</v>
      </c>
      <c r="C4" s="0" t="s">
        <v>16</v>
      </c>
      <c r="D4" s="0" t="s">
        <v>155</v>
      </c>
      <c r="E4" s="0" t="n">
        <v>17</v>
      </c>
      <c r="F4" s="0" t="n">
        <v>93</v>
      </c>
      <c r="G4" s="0" t="n">
        <v>108</v>
      </c>
      <c r="H4" s="0" t="n">
        <v>166</v>
      </c>
      <c r="I4" s="0" t="n">
        <v>29</v>
      </c>
      <c r="J4" s="0" t="n">
        <v>40</v>
      </c>
      <c r="K4" s="0" t="n">
        <v>14</v>
      </c>
      <c r="L4" s="0" t="n">
        <v>3</v>
      </c>
      <c r="M4" s="0" t="n">
        <v>0</v>
      </c>
      <c r="N4" s="0" t="n">
        <f aca="false">IF((K4+L4)&gt;0,ROUND(K4/(K4+L4),3),0)</f>
        <v>0.824</v>
      </c>
    </row>
    <row r="5" customFormat="false" ht="15" hidden="false" customHeight="false" outlineLevel="0" collapsed="false">
      <c r="A5" s="0" t="n">
        <v>2</v>
      </c>
      <c r="B5" s="0" t="s">
        <v>154</v>
      </c>
      <c r="C5" s="0" t="s">
        <v>16</v>
      </c>
      <c r="D5" s="0" t="s">
        <v>157</v>
      </c>
      <c r="E5" s="0" t="n">
        <v>22</v>
      </c>
      <c r="F5" s="0" t="n">
        <v>114.66</v>
      </c>
      <c r="G5" s="0" t="n">
        <v>137</v>
      </c>
      <c r="H5" s="0" t="n">
        <v>152</v>
      </c>
      <c r="I5" s="0" t="n">
        <v>108</v>
      </c>
      <c r="J5" s="0" t="n">
        <v>71</v>
      </c>
      <c r="K5" s="0" t="n">
        <v>13</v>
      </c>
      <c r="L5" s="0" t="n">
        <v>8</v>
      </c>
      <c r="M5" s="0" t="n">
        <v>1</v>
      </c>
      <c r="N5" s="0" t="n">
        <f aca="false">IF((K5+L5)&gt;0,ROUND(K5/(K5+L5),3),0)</f>
        <v>0.619</v>
      </c>
    </row>
    <row r="6" customFormat="false" ht="15" hidden="false" customHeight="false" outlineLevel="0" collapsed="false">
      <c r="A6" s="0" t="n">
        <v>3</v>
      </c>
      <c r="B6" s="0" t="s">
        <v>150</v>
      </c>
      <c r="C6" s="0" t="s">
        <v>16</v>
      </c>
      <c r="D6" s="0" t="s">
        <v>151</v>
      </c>
      <c r="E6" s="0" t="n">
        <v>23</v>
      </c>
      <c r="F6" s="0" t="n">
        <v>119.32</v>
      </c>
      <c r="G6" s="0" t="n">
        <v>146</v>
      </c>
      <c r="H6" s="0" t="n">
        <v>184</v>
      </c>
      <c r="I6" s="0" t="n">
        <v>57</v>
      </c>
      <c r="J6" s="0" t="n">
        <v>35</v>
      </c>
      <c r="K6" s="0" t="n">
        <v>11</v>
      </c>
      <c r="L6" s="0" t="n">
        <v>11</v>
      </c>
      <c r="M6" s="0" t="n">
        <v>0</v>
      </c>
      <c r="N6" s="0" t="n">
        <f aca="false">IF((K6+L6)&gt;0,ROUND(K6/(K6+L6),3),0)</f>
        <v>0.5</v>
      </c>
    </row>
    <row r="7" customFormat="false" ht="15" hidden="false" customHeight="false" outlineLevel="0" collapsed="false">
      <c r="A7" s="0" t="n">
        <v>4</v>
      </c>
      <c r="B7" s="0" t="s">
        <v>163</v>
      </c>
      <c r="C7" s="0" t="s">
        <v>16</v>
      </c>
      <c r="D7" s="0" t="s">
        <v>166</v>
      </c>
      <c r="E7" s="0" t="n">
        <v>20</v>
      </c>
      <c r="F7" s="0" t="n">
        <v>90</v>
      </c>
      <c r="G7" s="0" t="n">
        <v>128</v>
      </c>
      <c r="H7" s="0" t="n">
        <v>153</v>
      </c>
      <c r="I7" s="0" t="n">
        <v>57</v>
      </c>
      <c r="J7" s="0" t="n">
        <v>32</v>
      </c>
      <c r="K7" s="0" t="n">
        <v>7</v>
      </c>
      <c r="L7" s="0" t="n">
        <v>11</v>
      </c>
      <c r="M7" s="0" t="n">
        <v>1</v>
      </c>
      <c r="N7" s="0" t="n">
        <f aca="false">IF((K7+L7)&gt;0,ROUND(K7/(K7+L7),3),0)</f>
        <v>0.389</v>
      </c>
    </row>
    <row r="8" customFormat="false" ht="15" hidden="false" customHeight="false" outlineLevel="0" collapsed="false">
      <c r="A8" s="0" t="n">
        <v>5</v>
      </c>
      <c r="B8" s="0" t="s">
        <v>164</v>
      </c>
      <c r="C8" s="0" t="s">
        <v>16</v>
      </c>
      <c r="D8" s="0" t="s">
        <v>167</v>
      </c>
      <c r="E8" s="0" t="n">
        <v>24</v>
      </c>
      <c r="F8" s="0" t="n">
        <v>112.33</v>
      </c>
      <c r="G8" s="0" t="n">
        <v>175</v>
      </c>
      <c r="H8" s="0" t="n">
        <v>139</v>
      </c>
      <c r="I8" s="0" t="n">
        <v>175</v>
      </c>
      <c r="J8" s="0" t="n">
        <v>124</v>
      </c>
      <c r="K8" s="0" t="n">
        <v>10</v>
      </c>
      <c r="L8" s="0" t="n">
        <v>13</v>
      </c>
      <c r="M8" s="0" t="n">
        <v>0</v>
      </c>
      <c r="N8" s="0" t="n">
        <f aca="false">IF((K8+L8)&gt;0,ROUND(K8/(K8+L8),3),0)</f>
        <v>0.435</v>
      </c>
    </row>
    <row r="9" customFormat="false" ht="15" hidden="false" customHeight="false" outlineLevel="0" collapsed="false">
      <c r="A9" s="0" t="n">
        <v>6</v>
      </c>
      <c r="B9" s="0" t="s">
        <v>168</v>
      </c>
      <c r="C9" s="0" t="s">
        <v>16</v>
      </c>
      <c r="D9" s="0" t="s">
        <v>153</v>
      </c>
      <c r="E9" s="0" t="n">
        <v>19</v>
      </c>
      <c r="F9" s="0" t="n">
        <v>100.67</v>
      </c>
      <c r="G9" s="0" t="n">
        <v>189</v>
      </c>
      <c r="H9" s="0" t="n">
        <v>231</v>
      </c>
      <c r="I9" s="0" t="n">
        <v>52</v>
      </c>
      <c r="J9" s="0" t="n">
        <v>14</v>
      </c>
      <c r="K9" s="0" t="n">
        <v>5</v>
      </c>
      <c r="L9" s="0" t="n">
        <v>14</v>
      </c>
      <c r="M9" s="0" t="n">
        <v>0</v>
      </c>
      <c r="N9" s="0" t="n">
        <f aca="false">IF((K9+L9)&gt;0,ROUND(K9/(K9+L9),3),0)</f>
        <v>0.263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152</v>
      </c>
      <c r="C4" s="0" t="s">
        <v>16</v>
      </c>
      <c r="D4" s="0" t="s">
        <v>151</v>
      </c>
      <c r="E4" s="0" t="n">
        <v>20</v>
      </c>
      <c r="F4" s="0" t="n">
        <v>105.33</v>
      </c>
      <c r="G4" s="0" t="n">
        <v>119</v>
      </c>
      <c r="H4" s="0" t="n">
        <v>200</v>
      </c>
      <c r="I4" s="0" t="n">
        <v>38</v>
      </c>
      <c r="J4" s="0" t="n">
        <v>30</v>
      </c>
      <c r="K4" s="0" t="n">
        <v>10</v>
      </c>
      <c r="L4" s="0" t="n">
        <v>9</v>
      </c>
      <c r="M4" s="0" t="n">
        <v>0</v>
      </c>
      <c r="N4" s="0" t="n">
        <f aca="false">IF((K4+L4)&gt;0,ROUND(K4/(K4+L4),3),0)</f>
        <v>0.526</v>
      </c>
    </row>
    <row r="5" customFormat="false" ht="15" hidden="false" customHeight="false" outlineLevel="0" collapsed="false">
      <c r="A5" s="0" t="n">
        <v>2</v>
      </c>
      <c r="B5" s="0" t="s">
        <v>150</v>
      </c>
      <c r="C5" s="0" t="s">
        <v>16</v>
      </c>
      <c r="D5" s="0" t="s">
        <v>157</v>
      </c>
      <c r="E5" s="0" t="n">
        <v>25</v>
      </c>
      <c r="F5" s="0" t="n">
        <v>133.33</v>
      </c>
      <c r="G5" s="0" t="n">
        <v>154</v>
      </c>
      <c r="H5" s="0" t="n">
        <v>235</v>
      </c>
      <c r="I5" s="0" t="n">
        <v>74</v>
      </c>
      <c r="J5" s="0" t="n">
        <v>60</v>
      </c>
      <c r="K5" s="0" t="n">
        <v>11</v>
      </c>
      <c r="L5" s="0" t="n">
        <v>11</v>
      </c>
      <c r="M5" s="0" t="n">
        <v>3</v>
      </c>
      <c r="N5" s="0" t="n">
        <f aca="false">IF((K5+L5)&gt;0,ROUND(K5/(K5+L5),3),0)</f>
        <v>0.5</v>
      </c>
    </row>
    <row r="6" customFormat="false" ht="15" hidden="false" customHeight="false" outlineLevel="0" collapsed="false">
      <c r="A6" s="0" t="n">
        <v>3</v>
      </c>
      <c r="B6" s="0" t="s">
        <v>170</v>
      </c>
      <c r="C6" s="0" t="s">
        <v>16</v>
      </c>
      <c r="D6" s="0" t="s">
        <v>155</v>
      </c>
      <c r="E6" s="0" t="n">
        <v>25</v>
      </c>
      <c r="F6" s="0" t="n">
        <v>134.33</v>
      </c>
      <c r="G6" s="0" t="n">
        <v>157</v>
      </c>
      <c r="H6" s="0" t="n">
        <v>232</v>
      </c>
      <c r="I6" s="0" t="n">
        <v>70</v>
      </c>
      <c r="J6" s="0" t="n">
        <v>65</v>
      </c>
      <c r="K6" s="0" t="n">
        <v>13</v>
      </c>
      <c r="L6" s="0" t="n">
        <v>9</v>
      </c>
      <c r="M6" s="0" t="n">
        <v>3</v>
      </c>
      <c r="N6" s="0" t="n">
        <f aca="false">IF((K6+L6)&gt;0,ROUND(K6/(K6+L6),3),0)</f>
        <v>0.591</v>
      </c>
    </row>
    <row r="7" customFormat="false" ht="15" hidden="false" customHeight="false" outlineLevel="0" collapsed="false">
      <c r="A7" s="0" t="n">
        <v>4</v>
      </c>
      <c r="B7" s="0" t="s">
        <v>154</v>
      </c>
      <c r="C7" s="0" t="s">
        <v>16</v>
      </c>
      <c r="D7" s="0" t="s">
        <v>167</v>
      </c>
      <c r="E7" s="0" t="n">
        <v>24</v>
      </c>
      <c r="F7" s="0" t="n">
        <v>126</v>
      </c>
      <c r="G7" s="0" t="n">
        <v>152</v>
      </c>
      <c r="H7" s="0" t="n">
        <v>176</v>
      </c>
      <c r="I7" s="0" t="n">
        <v>92</v>
      </c>
      <c r="J7" s="0" t="n">
        <v>53</v>
      </c>
      <c r="K7" s="0" t="n">
        <v>16</v>
      </c>
      <c r="L7" s="0" t="n">
        <v>7</v>
      </c>
      <c r="M7" s="0" t="n">
        <v>0</v>
      </c>
      <c r="N7" s="0" t="n">
        <f aca="false">IF((K7+L7)&gt;0,ROUND(K7/(K7+L7),3),0)</f>
        <v>0.696</v>
      </c>
    </row>
    <row r="8" customFormat="false" ht="15" hidden="false" customHeight="false" outlineLevel="0" collapsed="false">
      <c r="A8" s="0" t="n">
        <v>5</v>
      </c>
      <c r="B8" s="0" t="s">
        <v>171</v>
      </c>
      <c r="C8" s="0" t="s">
        <v>16</v>
      </c>
      <c r="D8" s="0" t="s">
        <v>153</v>
      </c>
      <c r="E8" s="0" t="n">
        <v>22</v>
      </c>
      <c r="F8" s="0" t="n">
        <v>111.66</v>
      </c>
      <c r="G8" s="0" t="n">
        <v>208</v>
      </c>
      <c r="H8" s="0" t="n">
        <v>222</v>
      </c>
      <c r="I8" s="0" t="n">
        <v>106</v>
      </c>
      <c r="J8" s="0" t="n">
        <v>21</v>
      </c>
      <c r="K8" s="0" t="n">
        <v>8</v>
      </c>
      <c r="L8" s="0" t="n">
        <v>12</v>
      </c>
      <c r="M8" s="0" t="n">
        <v>1</v>
      </c>
      <c r="N8" s="0" t="n">
        <f aca="false">IF((K8+L8)&gt;0,ROUND(K8/(K8+L8),3),0)</f>
        <v>0.4</v>
      </c>
    </row>
    <row r="9" customFormat="false" ht="15" hidden="false" customHeight="false" outlineLevel="0" collapsed="false">
      <c r="A9" s="0" t="n">
        <v>6</v>
      </c>
      <c r="B9" s="0" t="s">
        <v>168</v>
      </c>
      <c r="C9" s="0" t="s">
        <v>16</v>
      </c>
      <c r="D9" s="0" t="s">
        <v>166</v>
      </c>
      <c r="E9" s="0" t="n">
        <v>19</v>
      </c>
      <c r="F9" s="0" t="n">
        <v>95.67</v>
      </c>
      <c r="G9" s="0" t="n">
        <v>184</v>
      </c>
      <c r="H9" s="0" t="n">
        <v>244</v>
      </c>
      <c r="I9" s="0" t="n">
        <v>49</v>
      </c>
      <c r="J9" s="0" t="n">
        <v>19</v>
      </c>
      <c r="K9" s="0" t="n">
        <v>5</v>
      </c>
      <c r="L9" s="0" t="n">
        <v>12</v>
      </c>
      <c r="M9" s="0" t="n">
        <v>1</v>
      </c>
      <c r="N9" s="0" t="n">
        <f aca="false">IF((K9+L9)&gt;0,ROUND(K9/(K9+L9),3),0)</f>
        <v>0.294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155</v>
      </c>
      <c r="E4" s="0" t="n">
        <v>25</v>
      </c>
      <c r="F4" s="0" t="n">
        <v>136</v>
      </c>
      <c r="G4" s="0" t="n">
        <v>170</v>
      </c>
      <c r="H4" s="0" t="n">
        <v>242</v>
      </c>
      <c r="I4" s="0" t="n">
        <v>69</v>
      </c>
      <c r="J4" s="0" t="n">
        <v>43</v>
      </c>
      <c r="K4" s="0" t="n">
        <v>14</v>
      </c>
      <c r="L4" s="0" t="n">
        <v>10</v>
      </c>
      <c r="M4" s="0" t="n">
        <v>1</v>
      </c>
      <c r="N4" s="0" t="n">
        <f aca="false">IF((K4+L4)&gt;0,ROUND(K4/(K4+L4),3),0)</f>
        <v>0.583</v>
      </c>
    </row>
    <row r="5" customFormat="false" ht="15" hidden="false" customHeight="false" outlineLevel="0" collapsed="false">
      <c r="A5" s="0" t="n">
        <v>2</v>
      </c>
      <c r="B5" s="0" t="s">
        <v>152</v>
      </c>
      <c r="C5" s="0" t="s">
        <v>16</v>
      </c>
      <c r="D5" s="0" t="s">
        <v>157</v>
      </c>
      <c r="E5" s="0" t="n">
        <v>22</v>
      </c>
      <c r="F5" s="0" t="n">
        <v>110.66</v>
      </c>
      <c r="G5" s="0" t="n">
        <v>140</v>
      </c>
      <c r="H5" s="0" t="n">
        <v>203</v>
      </c>
      <c r="I5" s="0" t="n">
        <v>44</v>
      </c>
      <c r="J5" s="0" t="n">
        <v>30</v>
      </c>
      <c r="K5" s="0" t="n">
        <v>12</v>
      </c>
      <c r="L5" s="0" t="n">
        <v>8</v>
      </c>
      <c r="M5" s="0" t="n">
        <v>2</v>
      </c>
      <c r="N5" s="0" t="n">
        <f aca="false">IF((K5+L5)&gt;0,ROUND(K5/(K5+L5),3),0)</f>
        <v>0.6</v>
      </c>
    </row>
    <row r="6" customFormat="false" ht="15" hidden="false" customHeight="false" outlineLevel="0" collapsed="false">
      <c r="A6" s="0" t="n">
        <v>3</v>
      </c>
      <c r="B6" s="0" t="s">
        <v>154</v>
      </c>
      <c r="C6" s="0" t="s">
        <v>16</v>
      </c>
      <c r="D6" s="0" t="s">
        <v>151</v>
      </c>
      <c r="E6" s="0" t="n">
        <v>23</v>
      </c>
      <c r="F6" s="0" t="n">
        <v>118</v>
      </c>
      <c r="G6" s="0" t="n">
        <v>163</v>
      </c>
      <c r="H6" s="0" t="n">
        <v>187</v>
      </c>
      <c r="I6" s="0" t="n">
        <v>93</v>
      </c>
      <c r="J6" s="0" t="n">
        <v>45</v>
      </c>
      <c r="K6" s="0" t="n">
        <v>9</v>
      </c>
      <c r="L6" s="0" t="n">
        <v>11</v>
      </c>
      <c r="M6" s="0" t="n">
        <v>3</v>
      </c>
      <c r="N6" s="0" t="n">
        <f aca="false">IF((K6+L6)&gt;0,ROUND(K6/(K6+L6),3),0)</f>
        <v>0.45</v>
      </c>
    </row>
    <row r="7" customFormat="false" ht="15" hidden="false" customHeight="false" outlineLevel="0" collapsed="false">
      <c r="A7" s="0" t="n">
        <v>4</v>
      </c>
      <c r="B7" s="0" t="s">
        <v>170</v>
      </c>
      <c r="C7" s="0" t="s">
        <v>16</v>
      </c>
      <c r="D7" s="0" t="s">
        <v>166</v>
      </c>
      <c r="E7" s="0" t="n">
        <v>22</v>
      </c>
      <c r="F7" s="0" t="n">
        <v>98.66</v>
      </c>
      <c r="G7" s="0" t="n">
        <v>166</v>
      </c>
      <c r="H7" s="0" t="n">
        <v>184</v>
      </c>
      <c r="I7" s="0" t="n">
        <v>60</v>
      </c>
      <c r="J7" s="0" t="n">
        <v>30</v>
      </c>
      <c r="K7" s="0" t="n">
        <v>9</v>
      </c>
      <c r="L7" s="0" t="n">
        <v>9</v>
      </c>
      <c r="M7" s="0" t="n">
        <v>2</v>
      </c>
      <c r="N7" s="0" t="n">
        <f aca="false">IF((K7+L7)&gt;0,ROUND(K7/(K7+L7),3),0)</f>
        <v>0.5</v>
      </c>
    </row>
    <row r="8" customFormat="false" ht="15" hidden="false" customHeight="false" outlineLevel="0" collapsed="false">
      <c r="A8" s="0" t="n">
        <v>5</v>
      </c>
      <c r="B8" s="0" t="s">
        <v>173</v>
      </c>
      <c r="C8" s="0" t="s">
        <v>16</v>
      </c>
      <c r="D8" s="0" t="s">
        <v>167</v>
      </c>
      <c r="E8" s="0" t="n">
        <v>24</v>
      </c>
      <c r="F8" s="0" t="n">
        <v>95.66</v>
      </c>
      <c r="G8" s="0" t="n">
        <v>180</v>
      </c>
      <c r="H8" s="0" t="n">
        <v>174</v>
      </c>
      <c r="I8" s="0" t="n">
        <v>143</v>
      </c>
      <c r="J8" s="0" t="n">
        <v>18</v>
      </c>
      <c r="K8" s="0" t="n">
        <v>11</v>
      </c>
      <c r="L8" s="0" t="n">
        <v>9</v>
      </c>
      <c r="M8" s="0" t="n">
        <v>0</v>
      </c>
      <c r="N8" s="0" t="n">
        <f aca="false">IF((K8+L8)&gt;0,ROUND(K8/(K8+L8),3),0)</f>
        <v>0.55</v>
      </c>
    </row>
    <row r="9" customFormat="false" ht="15" hidden="false" customHeight="false" outlineLevel="0" collapsed="false">
      <c r="A9" s="0" t="n">
        <v>6</v>
      </c>
      <c r="B9" s="0" t="s">
        <v>168</v>
      </c>
      <c r="C9" s="0" t="s">
        <v>16</v>
      </c>
      <c r="D9" s="0" t="s">
        <v>153</v>
      </c>
      <c r="E9" s="0" t="n">
        <v>15</v>
      </c>
      <c r="F9" s="0" t="n">
        <v>63.99</v>
      </c>
      <c r="G9" s="0" t="n">
        <v>149</v>
      </c>
      <c r="H9" s="0" t="n">
        <v>193</v>
      </c>
      <c r="I9" s="0" t="n">
        <v>25</v>
      </c>
      <c r="J9" s="0" t="n">
        <v>13</v>
      </c>
      <c r="K9" s="0" t="n">
        <v>3</v>
      </c>
      <c r="L9" s="0" t="n">
        <v>10</v>
      </c>
      <c r="M9" s="0" t="n">
        <v>0</v>
      </c>
      <c r="N9" s="0" t="n">
        <f aca="false">IF((K9+L9)&gt;0,ROUND(K9/(K9+L9),3),0)</f>
        <v>0.231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154</v>
      </c>
      <c r="C4" s="0" t="s">
        <v>16</v>
      </c>
      <c r="D4" s="0" t="s">
        <v>167</v>
      </c>
      <c r="E4" s="0" t="n">
        <v>25</v>
      </c>
      <c r="F4" s="0" t="n">
        <v>139</v>
      </c>
      <c r="G4" s="0" t="n">
        <v>116</v>
      </c>
      <c r="H4" s="0" t="n">
        <v>181</v>
      </c>
      <c r="I4" s="0" t="n">
        <v>91</v>
      </c>
      <c r="J4" s="0" t="n">
        <v>56</v>
      </c>
      <c r="K4" s="0" t="n">
        <v>17</v>
      </c>
      <c r="L4" s="0" t="n">
        <v>6</v>
      </c>
      <c r="M4" s="0" t="n">
        <v>2</v>
      </c>
      <c r="N4" s="0" t="n">
        <f aca="false">IF((K4+L4)&gt;0,ROUND(K4/(K4+L4),3),0)</f>
        <v>0.739</v>
      </c>
    </row>
    <row r="5" customFormat="false" ht="15" hidden="false" customHeight="false" outlineLevel="0" collapsed="false">
      <c r="A5" s="0" t="n">
        <v>2</v>
      </c>
      <c r="B5" s="0" t="s">
        <v>152</v>
      </c>
      <c r="C5" s="0" t="s">
        <v>16</v>
      </c>
      <c r="D5" s="0" t="s">
        <v>155</v>
      </c>
      <c r="E5" s="0" t="n">
        <v>10</v>
      </c>
      <c r="F5" s="0" t="n">
        <v>54</v>
      </c>
      <c r="G5" s="0" t="n">
        <v>45</v>
      </c>
      <c r="H5" s="0" t="n">
        <v>87</v>
      </c>
      <c r="I5" s="0" t="n">
        <v>17</v>
      </c>
      <c r="J5" s="0" t="n">
        <v>17</v>
      </c>
      <c r="K5" s="0" t="n">
        <v>6</v>
      </c>
      <c r="L5" s="0" t="n">
        <v>4</v>
      </c>
      <c r="M5" s="0" t="n">
        <v>0</v>
      </c>
      <c r="N5" s="0" t="n">
        <f aca="false">IF((K5+L5)&gt;0,ROUND(K5/(K5+L5),3),0)</f>
        <v>0.6</v>
      </c>
    </row>
    <row r="6" customFormat="false" ht="15" hidden="false" customHeight="false" outlineLevel="0" collapsed="false">
      <c r="A6" s="0" t="n">
        <v>3</v>
      </c>
      <c r="B6" s="0" t="s">
        <v>150</v>
      </c>
      <c r="C6" s="0" t="s">
        <v>16</v>
      </c>
      <c r="D6" s="0" t="s">
        <v>157</v>
      </c>
      <c r="E6" s="0" t="n">
        <v>20</v>
      </c>
      <c r="F6" s="0" t="n">
        <v>104</v>
      </c>
      <c r="G6" s="0" t="n">
        <v>112</v>
      </c>
      <c r="H6" s="0" t="n">
        <v>159</v>
      </c>
      <c r="I6" s="0" t="n">
        <v>53</v>
      </c>
      <c r="J6" s="0" t="n">
        <v>29</v>
      </c>
      <c r="K6" s="0" t="n">
        <v>11</v>
      </c>
      <c r="L6" s="0" t="n">
        <v>6</v>
      </c>
      <c r="M6" s="0" t="n">
        <v>2</v>
      </c>
      <c r="N6" s="0" t="n">
        <f aca="false">IF((K6+L6)&gt;0,ROUND(K6/(K6+L6),3),0)</f>
        <v>0.647</v>
      </c>
    </row>
    <row r="7" customFormat="false" ht="15" hidden="false" customHeight="false" outlineLevel="0" collapsed="false">
      <c r="A7" s="0" t="n">
        <v>4</v>
      </c>
      <c r="B7" s="0" t="s">
        <v>175</v>
      </c>
      <c r="C7" s="0" t="s">
        <v>16</v>
      </c>
      <c r="D7" s="0" t="s">
        <v>153</v>
      </c>
      <c r="E7" s="0" t="n">
        <v>22</v>
      </c>
      <c r="F7" s="0" t="n">
        <v>105</v>
      </c>
      <c r="G7" s="0" t="n">
        <v>141</v>
      </c>
      <c r="H7" s="0" t="n">
        <v>208</v>
      </c>
      <c r="I7" s="0" t="n">
        <v>29</v>
      </c>
      <c r="J7" s="0" t="n">
        <v>12</v>
      </c>
      <c r="K7" s="0" t="n">
        <v>8</v>
      </c>
      <c r="L7" s="0" t="n">
        <v>12</v>
      </c>
      <c r="M7" s="0" t="n">
        <v>0</v>
      </c>
      <c r="N7" s="0" t="n">
        <f aca="false">IF((K7+L7)&gt;0,ROUND(K7/(K7+L7),3),0)</f>
        <v>0.4</v>
      </c>
    </row>
    <row r="8" customFormat="false" ht="15" hidden="false" customHeight="false" outlineLevel="0" collapsed="false">
      <c r="A8" s="0" t="n">
        <v>5</v>
      </c>
      <c r="B8" s="0" t="s">
        <v>173</v>
      </c>
      <c r="C8" s="0" t="s">
        <v>16</v>
      </c>
      <c r="D8" s="0" t="s">
        <v>151</v>
      </c>
      <c r="E8" s="0" t="n">
        <v>25</v>
      </c>
      <c r="F8" s="0" t="n">
        <v>117</v>
      </c>
      <c r="G8" s="0" t="n">
        <v>199</v>
      </c>
      <c r="H8" s="0" t="n">
        <v>242</v>
      </c>
      <c r="I8" s="0" t="n">
        <v>75</v>
      </c>
      <c r="J8" s="0" t="n">
        <v>22</v>
      </c>
      <c r="K8" s="0" t="n">
        <v>8</v>
      </c>
      <c r="L8" s="0" t="n">
        <v>15</v>
      </c>
      <c r="M8" s="0" t="n">
        <v>2</v>
      </c>
      <c r="N8" s="0" t="n">
        <f aca="false">IF((K8+L8)&gt;0,ROUND(K8/(K8+L8),3),0)</f>
        <v>0.348</v>
      </c>
    </row>
    <row r="9" customFormat="false" ht="15" hidden="false" customHeight="false" outlineLevel="0" collapsed="false">
      <c r="A9" s="0" t="n">
        <v>6</v>
      </c>
      <c r="B9" s="0" t="s">
        <v>170</v>
      </c>
      <c r="C9" s="0" t="s">
        <v>16</v>
      </c>
      <c r="D9" s="0" t="s">
        <v>166</v>
      </c>
      <c r="E9" s="0" t="n">
        <v>22</v>
      </c>
      <c r="F9" s="0" t="n">
        <v>104</v>
      </c>
      <c r="G9" s="0" t="n">
        <v>186</v>
      </c>
      <c r="H9" s="0" t="n">
        <v>255</v>
      </c>
      <c r="I9" s="0" t="n">
        <v>56</v>
      </c>
      <c r="J9" s="0" t="n">
        <v>31</v>
      </c>
      <c r="K9" s="0" t="n">
        <v>7</v>
      </c>
      <c r="L9" s="0" t="n">
        <v>16</v>
      </c>
      <c r="M9" s="0" t="n">
        <v>0</v>
      </c>
      <c r="N9" s="0" t="n">
        <f aca="false">IF((K9+L9)&gt;0,ROUND(K9/(K9+L9),3),0)</f>
        <v>0.304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153</v>
      </c>
      <c r="E4" s="0" t="n">
        <v>20</v>
      </c>
      <c r="F4" s="0" t="n">
        <v>109</v>
      </c>
      <c r="G4" s="0" t="n">
        <v>105</v>
      </c>
      <c r="H4" s="0" t="n">
        <v>174</v>
      </c>
      <c r="I4" s="0" t="n">
        <v>35</v>
      </c>
      <c r="J4" s="0" t="n">
        <v>37</v>
      </c>
      <c r="K4" s="0" t="n">
        <v>13</v>
      </c>
      <c r="L4" s="0" t="n">
        <v>6</v>
      </c>
      <c r="M4" s="0" t="n">
        <v>1</v>
      </c>
      <c r="N4" s="0" t="n">
        <f aca="false">IF((K4+L4)&gt;0,ROUND(K4/(K4+L4),3),0)</f>
        <v>0.684</v>
      </c>
    </row>
    <row r="5" customFormat="false" ht="15" hidden="false" customHeight="false" outlineLevel="0" collapsed="false">
      <c r="A5" s="0" t="n">
        <v>2</v>
      </c>
      <c r="B5" s="0" t="s">
        <v>154</v>
      </c>
      <c r="C5" s="0" t="s">
        <v>16</v>
      </c>
      <c r="D5" s="0" t="s">
        <v>166</v>
      </c>
      <c r="E5" s="0" t="n">
        <v>24</v>
      </c>
      <c r="F5" s="0" t="n">
        <v>130</v>
      </c>
      <c r="G5" s="0" t="n">
        <v>155</v>
      </c>
      <c r="H5" s="0" t="n">
        <v>202</v>
      </c>
      <c r="I5" s="0" t="n">
        <v>114</v>
      </c>
      <c r="J5" s="0" t="n">
        <v>69</v>
      </c>
      <c r="K5" s="0" t="n">
        <v>14</v>
      </c>
      <c r="L5" s="0" t="n">
        <v>9</v>
      </c>
      <c r="M5" s="0" t="n">
        <v>1</v>
      </c>
      <c r="N5" s="0" t="n">
        <f aca="false">IF((K5+L5)&gt;0,ROUND(K5/(K5+L5),3),0)</f>
        <v>0.609</v>
      </c>
    </row>
    <row r="6" customFormat="false" ht="15" hidden="false" customHeight="false" outlineLevel="0" collapsed="false">
      <c r="A6" s="0" t="n">
        <v>3</v>
      </c>
      <c r="B6" s="0" t="s">
        <v>170</v>
      </c>
      <c r="C6" s="0" t="s">
        <v>16</v>
      </c>
      <c r="D6" s="0" t="s">
        <v>167</v>
      </c>
      <c r="E6" s="0" t="n">
        <v>24</v>
      </c>
      <c r="F6" s="0" t="n">
        <v>127</v>
      </c>
      <c r="G6" s="0" t="n">
        <v>164</v>
      </c>
      <c r="H6" s="0" t="n">
        <v>250</v>
      </c>
      <c r="I6" s="0" t="n">
        <v>43</v>
      </c>
      <c r="J6" s="0" t="n">
        <v>58</v>
      </c>
      <c r="K6" s="0" t="n">
        <v>8</v>
      </c>
      <c r="L6" s="0" t="n">
        <v>12</v>
      </c>
      <c r="M6" s="0" t="n">
        <v>4</v>
      </c>
      <c r="N6" s="0" t="n">
        <f aca="false">IF((K6+L6)&gt;0,ROUND(K6/(K6+L6),3),0)</f>
        <v>0.4</v>
      </c>
    </row>
    <row r="7" customFormat="false" ht="15" hidden="false" customHeight="false" outlineLevel="0" collapsed="false">
      <c r="A7" s="0" t="n">
        <v>4</v>
      </c>
      <c r="B7" s="0" t="s">
        <v>173</v>
      </c>
      <c r="C7" s="0" t="s">
        <v>16</v>
      </c>
      <c r="D7" s="0" t="s">
        <v>151</v>
      </c>
      <c r="E7" s="0" t="n">
        <v>25</v>
      </c>
      <c r="F7" s="0" t="n">
        <v>117.66</v>
      </c>
      <c r="G7" s="0" t="n">
        <v>163</v>
      </c>
      <c r="H7" s="0" t="n">
        <v>238</v>
      </c>
      <c r="I7" s="0" t="n">
        <v>63</v>
      </c>
      <c r="J7" s="0" t="n">
        <v>20</v>
      </c>
      <c r="K7" s="0" t="n">
        <v>14</v>
      </c>
      <c r="L7" s="0" t="n">
        <v>9</v>
      </c>
      <c r="M7" s="0" t="n">
        <v>1</v>
      </c>
      <c r="N7" s="0" t="n">
        <f aca="false">IF((K7+L7)&gt;0,ROUND(K7/(K7+L7),3),0)</f>
        <v>0.609</v>
      </c>
    </row>
    <row r="8" customFormat="false" ht="15" hidden="false" customHeight="false" outlineLevel="0" collapsed="false">
      <c r="A8" s="0" t="n">
        <v>5</v>
      </c>
      <c r="B8" s="0" t="s">
        <v>168</v>
      </c>
      <c r="C8" s="0" t="s">
        <v>16</v>
      </c>
      <c r="D8" s="0" t="s">
        <v>157</v>
      </c>
      <c r="E8" s="0" t="n">
        <v>19</v>
      </c>
      <c r="F8" s="0" t="n">
        <v>97</v>
      </c>
      <c r="G8" s="0" t="n">
        <v>146</v>
      </c>
      <c r="H8" s="0" t="n">
        <v>208</v>
      </c>
      <c r="I8" s="0" t="n">
        <v>53</v>
      </c>
      <c r="J8" s="0" t="n">
        <v>24</v>
      </c>
      <c r="K8" s="0" t="n">
        <v>5</v>
      </c>
      <c r="L8" s="0" t="n">
        <v>12</v>
      </c>
      <c r="M8" s="0" t="n">
        <v>2</v>
      </c>
      <c r="N8" s="0" t="n">
        <f aca="false">IF((K8+L8)&gt;0,ROUND(K8/(K8+L8),3),0)</f>
        <v>0.294</v>
      </c>
    </row>
    <row r="9" customFormat="false" ht="15" hidden="false" customHeight="false" outlineLevel="0" collapsed="false">
      <c r="A9" s="0" t="n">
        <v>6</v>
      </c>
      <c r="B9" s="0" t="s">
        <v>177</v>
      </c>
      <c r="C9" s="0" t="s">
        <v>16</v>
      </c>
      <c r="D9" s="0" t="s">
        <v>155</v>
      </c>
      <c r="E9" s="0" t="n">
        <v>16</v>
      </c>
      <c r="F9" s="0" t="n">
        <v>87</v>
      </c>
      <c r="G9" s="0" t="n">
        <v>135</v>
      </c>
      <c r="H9" s="0" t="n">
        <v>172</v>
      </c>
      <c r="I9" s="0" t="n">
        <v>63</v>
      </c>
      <c r="J9" s="0" t="n">
        <v>12</v>
      </c>
      <c r="K9" s="0" t="n">
        <v>5</v>
      </c>
      <c r="L9" s="0" t="n">
        <v>9</v>
      </c>
      <c r="M9" s="0" t="n">
        <v>2</v>
      </c>
      <c r="N9" s="0" t="n">
        <f aca="false">IF((K9+L9)&gt;0,ROUND(K9/(K9+L9),3),0)</f>
        <v>0.357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153</v>
      </c>
      <c r="E4" s="0" t="n">
        <v>25</v>
      </c>
      <c r="F4" s="0" t="n">
        <v>143.66</v>
      </c>
      <c r="G4" s="0" t="n">
        <v>168</v>
      </c>
      <c r="H4" s="0" t="n">
        <v>241</v>
      </c>
      <c r="I4" s="0" t="n">
        <v>41</v>
      </c>
      <c r="J4" s="0" t="n">
        <v>51</v>
      </c>
      <c r="K4" s="0" t="n">
        <v>17</v>
      </c>
      <c r="L4" s="0" t="n">
        <v>6</v>
      </c>
      <c r="M4" s="0" t="n">
        <v>2</v>
      </c>
      <c r="N4" s="0" t="n">
        <f aca="false">IF((K4+L4)&gt;0,ROUND(K4/(K4+L4),3),0)</f>
        <v>0.739</v>
      </c>
    </row>
    <row r="5" customFormat="false" ht="15" hidden="false" customHeight="false" outlineLevel="0" collapsed="false">
      <c r="A5" s="0" t="n">
        <v>2</v>
      </c>
      <c r="B5" s="0" t="s">
        <v>154</v>
      </c>
      <c r="C5" s="0" t="s">
        <v>16</v>
      </c>
      <c r="D5" s="0" t="s">
        <v>166</v>
      </c>
      <c r="E5" s="0" t="n">
        <v>21</v>
      </c>
      <c r="F5" s="0" t="n">
        <v>116</v>
      </c>
      <c r="G5" s="0" t="n">
        <v>159</v>
      </c>
      <c r="H5" s="0" t="n">
        <v>194</v>
      </c>
      <c r="I5" s="0" t="n">
        <v>91</v>
      </c>
      <c r="J5" s="0" t="n">
        <v>48</v>
      </c>
      <c r="K5" s="0" t="n">
        <v>11</v>
      </c>
      <c r="L5" s="0" t="n">
        <v>8</v>
      </c>
      <c r="M5" s="0" t="n">
        <v>2</v>
      </c>
      <c r="N5" s="0" t="n">
        <f aca="false">IF((K5+L5)&gt;0,ROUND(K5/(K5+L5),3),0)</f>
        <v>0.579</v>
      </c>
    </row>
    <row r="6" customFormat="false" ht="15" hidden="false" customHeight="false" outlineLevel="0" collapsed="false">
      <c r="A6" s="0" t="n">
        <v>3</v>
      </c>
      <c r="B6" s="0" t="s">
        <v>177</v>
      </c>
      <c r="C6" s="0" t="s">
        <v>16</v>
      </c>
      <c r="D6" s="0" t="s">
        <v>155</v>
      </c>
      <c r="E6" s="0" t="n">
        <v>21</v>
      </c>
      <c r="F6" s="0" t="n">
        <v>103.33</v>
      </c>
      <c r="G6" s="0" t="n">
        <v>151</v>
      </c>
      <c r="H6" s="0" t="n">
        <v>208</v>
      </c>
      <c r="I6" s="0" t="n">
        <v>78</v>
      </c>
      <c r="J6" s="0" t="n">
        <v>16</v>
      </c>
      <c r="K6" s="0" t="n">
        <v>14</v>
      </c>
      <c r="L6" s="0" t="n">
        <v>6</v>
      </c>
      <c r="M6" s="0" t="n">
        <v>1</v>
      </c>
      <c r="N6" s="0" t="n">
        <f aca="false">IF((K6+L6)&gt;0,ROUND(K6/(K6+L6),3),0)</f>
        <v>0.7</v>
      </c>
    </row>
    <row r="7" customFormat="false" ht="15" hidden="false" customHeight="false" outlineLevel="0" collapsed="false">
      <c r="A7" s="0" t="n">
        <v>4</v>
      </c>
      <c r="B7" s="0" t="s">
        <v>168</v>
      </c>
      <c r="C7" s="0" t="s">
        <v>16</v>
      </c>
      <c r="D7" s="0" t="s">
        <v>157</v>
      </c>
      <c r="E7" s="0" t="n">
        <v>21</v>
      </c>
      <c r="F7" s="0" t="n">
        <v>107</v>
      </c>
      <c r="G7" s="0" t="n">
        <v>180</v>
      </c>
      <c r="H7" s="0" t="n">
        <v>234</v>
      </c>
      <c r="I7" s="0" t="n">
        <v>43</v>
      </c>
      <c r="J7" s="0" t="n">
        <v>18</v>
      </c>
      <c r="K7" s="0" t="n">
        <v>9</v>
      </c>
      <c r="L7" s="0" t="n">
        <v>11</v>
      </c>
      <c r="M7" s="0" t="n">
        <v>1</v>
      </c>
      <c r="N7" s="0" t="n">
        <f aca="false">IF((K7+L7)&gt;0,ROUND(K7/(K7+L7),3),0)</f>
        <v>0.45</v>
      </c>
    </row>
    <row r="8" customFormat="false" ht="15" hidden="false" customHeight="false" outlineLevel="0" collapsed="false">
      <c r="A8" s="0" t="n">
        <v>5</v>
      </c>
      <c r="B8" s="0" t="s">
        <v>170</v>
      </c>
      <c r="C8" s="0" t="s">
        <v>16</v>
      </c>
      <c r="D8" s="0" t="s">
        <v>167</v>
      </c>
      <c r="E8" s="0" t="n">
        <v>23</v>
      </c>
      <c r="F8" s="0" t="n">
        <v>112.6</v>
      </c>
      <c r="G8" s="0" t="n">
        <v>201</v>
      </c>
      <c r="H8" s="0" t="n">
        <v>260</v>
      </c>
      <c r="I8" s="0" t="n">
        <v>51</v>
      </c>
      <c r="J8" s="0" t="n">
        <v>45</v>
      </c>
      <c r="K8" s="0" t="n">
        <v>8</v>
      </c>
      <c r="L8" s="0" t="n">
        <v>15</v>
      </c>
      <c r="M8" s="0" t="n">
        <v>0</v>
      </c>
      <c r="N8" s="0" t="n">
        <f aca="false">IF((K8+L8)&gt;0,ROUND(K8/(K8+L8),3),0)</f>
        <v>0.348</v>
      </c>
    </row>
    <row r="9" customFormat="false" ht="15" hidden="false" customHeight="false" outlineLevel="0" collapsed="false">
      <c r="A9" s="0" t="n">
        <v>6</v>
      </c>
      <c r="B9" s="0" t="s">
        <v>173</v>
      </c>
      <c r="C9" s="0" t="s">
        <v>16</v>
      </c>
      <c r="D9" s="0" t="s">
        <v>151</v>
      </c>
      <c r="E9" s="0" t="n">
        <v>24</v>
      </c>
      <c r="F9" s="0" t="n">
        <v>114</v>
      </c>
      <c r="G9" s="0" t="n">
        <v>218</v>
      </c>
      <c r="H9" s="0" t="n">
        <v>257</v>
      </c>
      <c r="I9" s="0" t="n">
        <v>64</v>
      </c>
      <c r="J9" s="0" t="n">
        <v>27</v>
      </c>
      <c r="K9" s="0" t="n">
        <v>5</v>
      </c>
      <c r="L9" s="0" t="n">
        <v>18</v>
      </c>
      <c r="M9" s="0" t="n">
        <v>1</v>
      </c>
      <c r="N9" s="0" t="n">
        <f aca="false">IF((K9+L9)&gt;0,ROUND(K9/(K9+L9),3),0)</f>
        <v>0.217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168</v>
      </c>
      <c r="C4" s="0" t="s">
        <v>16</v>
      </c>
      <c r="D4" s="0" t="s">
        <v>167</v>
      </c>
      <c r="E4" s="0" t="n">
        <v>25</v>
      </c>
      <c r="F4" s="0" t="n">
        <v>142</v>
      </c>
      <c r="G4" s="0" t="n">
        <v>181</v>
      </c>
      <c r="H4" s="0" t="n">
        <v>293</v>
      </c>
      <c r="I4" s="0" t="n">
        <v>55</v>
      </c>
      <c r="J4" s="0" t="n">
        <v>41</v>
      </c>
      <c r="K4" s="0" t="n">
        <v>18</v>
      </c>
      <c r="L4" s="0" t="n">
        <v>7</v>
      </c>
      <c r="M4" s="0" t="n">
        <v>0</v>
      </c>
      <c r="N4" s="0" t="n">
        <f aca="false">IF((K4+L4)&gt;0,ROUND(K4/(K4+L4),3),0)</f>
        <v>0.72</v>
      </c>
    </row>
    <row r="5" customFormat="false" ht="15" hidden="false" customHeight="false" outlineLevel="0" collapsed="false">
      <c r="A5" s="0" t="n">
        <v>2</v>
      </c>
      <c r="B5" s="0" t="s">
        <v>158</v>
      </c>
      <c r="C5" s="0" t="s">
        <v>16</v>
      </c>
      <c r="D5" s="0" t="s">
        <v>155</v>
      </c>
      <c r="E5" s="0" t="n">
        <v>22</v>
      </c>
      <c r="F5" s="0" t="n">
        <v>129.66</v>
      </c>
      <c r="G5" s="0" t="n">
        <v>184</v>
      </c>
      <c r="H5" s="0" t="n">
        <v>265</v>
      </c>
      <c r="I5" s="0" t="n">
        <v>46</v>
      </c>
      <c r="J5" s="0" t="n">
        <v>20</v>
      </c>
      <c r="K5" s="0" t="n">
        <v>15</v>
      </c>
      <c r="L5" s="0" t="n">
        <v>7</v>
      </c>
      <c r="M5" s="0" t="n">
        <v>0</v>
      </c>
      <c r="N5" s="0" t="n">
        <f aca="false">IF((K5+L5)&gt;0,ROUND(K5/(K5+L5),3),0)</f>
        <v>0.682</v>
      </c>
    </row>
    <row r="6" customFormat="false" ht="15" hidden="false" customHeight="false" outlineLevel="0" collapsed="false">
      <c r="A6" s="0" t="n">
        <v>3</v>
      </c>
      <c r="B6" s="0" t="s">
        <v>180</v>
      </c>
      <c r="C6" s="0" t="s">
        <v>16</v>
      </c>
      <c r="D6" s="0" t="s">
        <v>157</v>
      </c>
      <c r="E6" s="0" t="n">
        <v>24</v>
      </c>
      <c r="F6" s="0" t="n">
        <v>116.66</v>
      </c>
      <c r="G6" s="0" t="n">
        <v>202</v>
      </c>
      <c r="H6" s="0" t="n">
        <v>247</v>
      </c>
      <c r="I6" s="0" t="n">
        <v>98</v>
      </c>
      <c r="J6" s="0" t="n">
        <v>48</v>
      </c>
      <c r="K6" s="0" t="n">
        <v>10</v>
      </c>
      <c r="L6" s="0" t="n">
        <v>14</v>
      </c>
      <c r="M6" s="0" t="n">
        <v>0</v>
      </c>
      <c r="N6" s="0" t="n">
        <f aca="false">IF((K6+L6)&gt;0,ROUND(K6/(K6+L6),3),0)</f>
        <v>0.417</v>
      </c>
    </row>
    <row r="7" customFormat="false" ht="15" hidden="false" customHeight="false" outlineLevel="0" collapsed="false">
      <c r="A7" s="0" t="n">
        <v>4</v>
      </c>
      <c r="B7" s="0" t="s">
        <v>150</v>
      </c>
      <c r="C7" s="0" t="s">
        <v>16</v>
      </c>
      <c r="D7" s="0" t="s">
        <v>153</v>
      </c>
      <c r="E7" s="0" t="n">
        <v>22</v>
      </c>
      <c r="F7" s="0" t="n">
        <v>111.33</v>
      </c>
      <c r="G7" s="0" t="n">
        <v>205</v>
      </c>
      <c r="H7" s="0" t="n">
        <v>266</v>
      </c>
      <c r="I7" s="0" t="n">
        <v>48</v>
      </c>
      <c r="J7" s="0" t="n">
        <v>62</v>
      </c>
      <c r="K7" s="0" t="n">
        <v>10</v>
      </c>
      <c r="L7" s="0" t="n">
        <v>11</v>
      </c>
      <c r="M7" s="0" t="n">
        <v>0</v>
      </c>
      <c r="N7" s="0" t="n">
        <f aca="false">IF((K7+L7)&gt;0,ROUND(K7/(K7+L7),3),0)</f>
        <v>0.476</v>
      </c>
    </row>
    <row r="8" customFormat="false" ht="15" hidden="false" customHeight="false" outlineLevel="0" collapsed="false">
      <c r="A8" s="0" t="n">
        <v>5</v>
      </c>
      <c r="B8" s="0" t="s">
        <v>163</v>
      </c>
      <c r="C8" s="0" t="s">
        <v>16</v>
      </c>
      <c r="D8" s="0" t="s">
        <v>151</v>
      </c>
      <c r="E8" s="0" t="n">
        <v>24</v>
      </c>
      <c r="F8" s="0" t="n">
        <v>118</v>
      </c>
      <c r="G8" s="0" t="n">
        <v>230</v>
      </c>
      <c r="H8" s="0" t="n">
        <v>279</v>
      </c>
      <c r="I8" s="0" t="n">
        <v>93</v>
      </c>
      <c r="J8" s="0" t="n">
        <v>51</v>
      </c>
      <c r="K8" s="0" t="n">
        <v>9</v>
      </c>
      <c r="L8" s="0" t="n">
        <v>15</v>
      </c>
      <c r="M8" s="0" t="n">
        <v>0</v>
      </c>
      <c r="N8" s="0" t="n">
        <f aca="false">IF((K8+L8)&gt;0,ROUND(K8/(K8+L8),3),0)</f>
        <v>0.375</v>
      </c>
    </row>
    <row r="9" customFormat="false" ht="15" hidden="false" customHeight="false" outlineLevel="0" collapsed="false">
      <c r="A9" s="0" t="n">
        <v>6</v>
      </c>
      <c r="B9" s="0" t="s">
        <v>173</v>
      </c>
      <c r="C9" s="0" t="s">
        <v>16</v>
      </c>
      <c r="D9" s="0" t="s">
        <v>166</v>
      </c>
      <c r="E9" s="0" t="n">
        <v>21</v>
      </c>
      <c r="F9" s="0" t="n">
        <v>101</v>
      </c>
      <c r="G9" s="0" t="n">
        <v>211</v>
      </c>
      <c r="H9" s="0" t="n">
        <v>244</v>
      </c>
      <c r="I9" s="0" t="n">
        <v>78</v>
      </c>
      <c r="J9" s="0" t="n">
        <v>29</v>
      </c>
      <c r="K9" s="0" t="n">
        <v>7</v>
      </c>
      <c r="L9" s="0" t="n">
        <v>14</v>
      </c>
      <c r="M9" s="0" t="n">
        <v>0</v>
      </c>
      <c r="N9" s="0" t="n">
        <f aca="false">IF((K9+L9)&gt;0,ROUND(K9/(K9+L9),3),0)</f>
        <v>0.333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153</v>
      </c>
      <c r="E4" s="0" t="n">
        <v>25</v>
      </c>
      <c r="F4" s="0" t="n">
        <v>151.66</v>
      </c>
      <c r="G4" s="0" t="n">
        <v>144</v>
      </c>
      <c r="H4" s="0" t="n">
        <v>254</v>
      </c>
      <c r="I4" s="0" t="n">
        <v>37</v>
      </c>
      <c r="J4" s="0" t="n">
        <v>57</v>
      </c>
      <c r="K4" s="0" t="n">
        <v>17</v>
      </c>
      <c r="L4" s="0" t="n">
        <v>7</v>
      </c>
      <c r="M4" s="0" t="n">
        <v>1</v>
      </c>
      <c r="N4" s="0" t="n">
        <f aca="false">IF((K4+L4)&gt;0,ROUND(K4/(K4+L4),3),0)</f>
        <v>0.708</v>
      </c>
    </row>
    <row r="5" customFormat="false" ht="15" hidden="false" customHeight="false" outlineLevel="0" collapsed="false">
      <c r="A5" s="0" t="n">
        <v>2</v>
      </c>
      <c r="B5" s="0" t="s">
        <v>163</v>
      </c>
      <c r="C5" s="0" t="s">
        <v>16</v>
      </c>
      <c r="D5" s="0" t="s">
        <v>151</v>
      </c>
      <c r="E5" s="0" t="n">
        <v>24</v>
      </c>
      <c r="F5" s="0" t="n">
        <v>149</v>
      </c>
      <c r="G5" s="0" t="n">
        <v>147</v>
      </c>
      <c r="H5" s="0" t="n">
        <v>237</v>
      </c>
      <c r="I5" s="0" t="n">
        <v>47</v>
      </c>
      <c r="J5" s="0" t="n">
        <v>46</v>
      </c>
      <c r="K5" s="0" t="n">
        <v>16</v>
      </c>
      <c r="L5" s="0" t="n">
        <v>7</v>
      </c>
      <c r="M5" s="0" t="n">
        <v>1</v>
      </c>
      <c r="N5" s="0" t="n">
        <f aca="false">IF((K5+L5)&gt;0,ROUND(K5/(K5+L5),3),0)</f>
        <v>0.696</v>
      </c>
    </row>
    <row r="6" customFormat="false" ht="15" hidden="false" customHeight="false" outlineLevel="0" collapsed="false">
      <c r="A6" s="0" t="n">
        <v>3</v>
      </c>
      <c r="B6" s="0" t="s">
        <v>173</v>
      </c>
      <c r="C6" s="0" t="s">
        <v>16</v>
      </c>
      <c r="D6" s="0" t="s">
        <v>166</v>
      </c>
      <c r="E6" s="0" t="n">
        <v>24</v>
      </c>
      <c r="F6" s="0" t="n">
        <v>145.66</v>
      </c>
      <c r="G6" s="0" t="n">
        <v>159</v>
      </c>
      <c r="H6" s="0" t="n">
        <v>232</v>
      </c>
      <c r="I6" s="0" t="n">
        <v>62</v>
      </c>
      <c r="J6" s="0" t="n">
        <v>25</v>
      </c>
      <c r="K6" s="0" t="n">
        <v>12</v>
      </c>
      <c r="L6" s="0" t="n">
        <v>10</v>
      </c>
      <c r="M6" s="0" t="n">
        <v>2</v>
      </c>
      <c r="N6" s="0" t="n">
        <f aca="false">IF((K6+L6)&gt;0,ROUND(K6/(K6+L6),3),0)</f>
        <v>0.545</v>
      </c>
    </row>
    <row r="7" customFormat="false" ht="15" hidden="false" customHeight="false" outlineLevel="0" collapsed="false">
      <c r="A7" s="0" t="n">
        <v>4</v>
      </c>
      <c r="B7" s="0" t="s">
        <v>180</v>
      </c>
      <c r="C7" s="0" t="s">
        <v>16</v>
      </c>
      <c r="D7" s="0" t="s">
        <v>155</v>
      </c>
      <c r="E7" s="0" t="n">
        <v>24</v>
      </c>
      <c r="F7" s="0" t="n">
        <v>137</v>
      </c>
      <c r="G7" s="0" t="n">
        <v>161</v>
      </c>
      <c r="H7" s="0" t="n">
        <v>252</v>
      </c>
      <c r="I7" s="0" t="n">
        <v>57</v>
      </c>
      <c r="J7" s="0" t="n">
        <v>37</v>
      </c>
      <c r="K7" s="0" t="n">
        <v>14</v>
      </c>
      <c r="L7" s="0" t="n">
        <v>9</v>
      </c>
      <c r="M7" s="0" t="n">
        <v>1</v>
      </c>
      <c r="N7" s="0" t="n">
        <f aca="false">IF((K7+L7)&gt;0,ROUND(K7/(K7+L7),3),0)</f>
        <v>0.609</v>
      </c>
    </row>
    <row r="8" customFormat="false" ht="15" hidden="false" customHeight="false" outlineLevel="0" collapsed="false">
      <c r="A8" s="0" t="n">
        <v>5</v>
      </c>
      <c r="B8" s="0" t="s">
        <v>182</v>
      </c>
      <c r="C8" s="0" t="s">
        <v>16</v>
      </c>
      <c r="D8" s="0" t="s">
        <v>157</v>
      </c>
      <c r="E8" s="0" t="n">
        <v>22</v>
      </c>
      <c r="F8" s="0" t="n">
        <v>118</v>
      </c>
      <c r="G8" s="0" t="n">
        <v>160</v>
      </c>
      <c r="H8" s="0" t="n">
        <v>217</v>
      </c>
      <c r="I8" s="0" t="n">
        <v>97</v>
      </c>
      <c r="J8" s="0" t="n">
        <v>35</v>
      </c>
      <c r="K8" s="0" t="n">
        <v>5</v>
      </c>
      <c r="L8" s="0" t="n">
        <v>15</v>
      </c>
      <c r="M8" s="0" t="n">
        <v>1</v>
      </c>
      <c r="N8" s="0" t="n">
        <f aca="false">IF((K8+L8)&gt;0,ROUND(K8/(K8+L8),3),0)</f>
        <v>0.25</v>
      </c>
    </row>
    <row r="9" customFormat="false" ht="15" hidden="false" customHeight="false" outlineLevel="0" collapsed="false">
      <c r="A9" s="0" t="n">
        <v>6</v>
      </c>
      <c r="B9" s="0" t="s">
        <v>168</v>
      </c>
      <c r="C9" s="0" t="s">
        <v>16</v>
      </c>
      <c r="D9" s="0" t="s">
        <v>167</v>
      </c>
      <c r="E9" s="0" t="n">
        <v>22</v>
      </c>
      <c r="F9" s="0" t="n">
        <v>134</v>
      </c>
      <c r="G9" s="0" t="n">
        <v>193</v>
      </c>
      <c r="H9" s="0" t="n">
        <v>312</v>
      </c>
      <c r="I9" s="0" t="n">
        <v>46</v>
      </c>
      <c r="J9" s="0" t="n">
        <v>30</v>
      </c>
      <c r="K9" s="0" t="n">
        <v>2</v>
      </c>
      <c r="L9" s="0" t="n">
        <v>19</v>
      </c>
      <c r="M9" s="0" t="n">
        <v>1</v>
      </c>
      <c r="N9" s="0" t="n">
        <f aca="false">IF((K9+L9)&gt;0,ROUND(K9/(K9+L9),3),0)</f>
        <v>0.095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167</v>
      </c>
      <c r="E4" s="0" t="n">
        <v>24</v>
      </c>
      <c r="F4" s="0" t="n">
        <v>147</v>
      </c>
      <c r="G4" s="0" t="n">
        <v>164</v>
      </c>
      <c r="H4" s="0" t="n">
        <v>246</v>
      </c>
      <c r="I4" s="0" t="n">
        <v>46</v>
      </c>
      <c r="J4" s="0" t="n">
        <v>47</v>
      </c>
      <c r="K4" s="0" t="n">
        <v>14</v>
      </c>
      <c r="L4" s="0" t="n">
        <v>8</v>
      </c>
      <c r="M4" s="0" t="n">
        <v>2</v>
      </c>
      <c r="N4" s="0" t="n">
        <f aca="false">IF((K4+L4)&gt;0,ROUND(K4/(K4+L4),3),0)</f>
        <v>0.636</v>
      </c>
    </row>
    <row r="5" customFormat="false" ht="15" hidden="false" customHeight="false" outlineLevel="0" collapsed="false">
      <c r="A5" s="0" t="n">
        <v>2</v>
      </c>
      <c r="B5" s="0" t="s">
        <v>184</v>
      </c>
      <c r="C5" s="0" t="s">
        <v>16</v>
      </c>
      <c r="D5" s="0" t="s">
        <v>155</v>
      </c>
      <c r="E5" s="0" t="n">
        <v>23</v>
      </c>
      <c r="F5" s="0" t="n">
        <v>124.66</v>
      </c>
      <c r="G5" s="0" t="n">
        <v>149</v>
      </c>
      <c r="H5" s="0" t="n">
        <v>204</v>
      </c>
      <c r="I5" s="0" t="n">
        <v>96</v>
      </c>
      <c r="J5" s="0" t="n">
        <v>25</v>
      </c>
      <c r="K5" s="0" t="n">
        <v>15</v>
      </c>
      <c r="L5" s="0" t="n">
        <v>7</v>
      </c>
      <c r="M5" s="0" t="n">
        <v>1</v>
      </c>
      <c r="N5" s="0" t="n">
        <f aca="false">IF((K5+L5)&gt;0,ROUND(K5/(K5+L5),3),0)</f>
        <v>0.682</v>
      </c>
    </row>
    <row r="6" customFormat="false" ht="15" hidden="false" customHeight="false" outlineLevel="0" collapsed="false">
      <c r="A6" s="0" t="n">
        <v>3</v>
      </c>
      <c r="B6" s="0" t="s">
        <v>168</v>
      </c>
      <c r="C6" s="0" t="s">
        <v>16</v>
      </c>
      <c r="D6" s="0" t="s">
        <v>166</v>
      </c>
      <c r="E6" s="0" t="n">
        <v>20</v>
      </c>
      <c r="F6" s="0" t="n">
        <v>116.66</v>
      </c>
      <c r="G6" s="0" t="n">
        <v>153</v>
      </c>
      <c r="H6" s="0" t="n">
        <v>222</v>
      </c>
      <c r="I6" s="0" t="n">
        <v>32</v>
      </c>
      <c r="J6" s="0" t="n">
        <v>24</v>
      </c>
      <c r="K6" s="0" t="n">
        <v>9</v>
      </c>
      <c r="L6" s="0" t="n">
        <v>9</v>
      </c>
      <c r="M6" s="0" t="n">
        <v>2</v>
      </c>
      <c r="N6" s="0" t="n">
        <f aca="false">IF((K6+L6)&gt;0,ROUND(K6/(K6+L6),3),0)</f>
        <v>0.5</v>
      </c>
    </row>
    <row r="7" customFormat="false" ht="15" hidden="false" customHeight="false" outlineLevel="0" collapsed="false">
      <c r="A7" s="0" t="n">
        <v>4</v>
      </c>
      <c r="B7" s="0" t="s">
        <v>173</v>
      </c>
      <c r="C7" s="0" t="s">
        <v>16</v>
      </c>
      <c r="D7" s="0" t="s">
        <v>153</v>
      </c>
      <c r="E7" s="0" t="n">
        <v>20</v>
      </c>
      <c r="F7" s="0" t="n">
        <v>116.66</v>
      </c>
      <c r="G7" s="0" t="n">
        <v>153</v>
      </c>
      <c r="H7" s="0" t="n">
        <v>222</v>
      </c>
      <c r="I7" s="0" t="n">
        <v>60</v>
      </c>
      <c r="J7" s="0" t="n">
        <v>23</v>
      </c>
      <c r="K7" s="0" t="n">
        <v>7</v>
      </c>
      <c r="L7" s="0" t="n">
        <v>11</v>
      </c>
      <c r="M7" s="0" t="n">
        <v>2</v>
      </c>
      <c r="N7" s="0" t="n">
        <f aca="false">IF((K7+L7)&gt;0,ROUND(K7/(K7+L7),3),0)</f>
        <v>0.389</v>
      </c>
    </row>
    <row r="8" customFormat="false" ht="15" hidden="false" customHeight="false" outlineLevel="0" collapsed="false">
      <c r="A8" s="0" t="n">
        <v>5</v>
      </c>
      <c r="B8" s="0" t="s">
        <v>180</v>
      </c>
      <c r="C8" s="0" t="s">
        <v>16</v>
      </c>
      <c r="D8" s="0" t="s">
        <v>157</v>
      </c>
      <c r="E8" s="0" t="n">
        <v>25</v>
      </c>
      <c r="F8" s="0" t="n">
        <v>131</v>
      </c>
      <c r="G8" s="0" t="n">
        <v>196</v>
      </c>
      <c r="H8" s="0" t="n">
        <v>276</v>
      </c>
      <c r="I8" s="0" t="n">
        <v>86</v>
      </c>
      <c r="J8" s="0" t="n">
        <v>42</v>
      </c>
      <c r="K8" s="0" t="n">
        <v>12</v>
      </c>
      <c r="L8" s="0" t="n">
        <v>11</v>
      </c>
      <c r="M8" s="0" t="n">
        <v>2</v>
      </c>
      <c r="N8" s="0" t="n">
        <f aca="false">IF((K8+L8)&gt;0,ROUND(K8/(K8+L8),3),0)</f>
        <v>0.522</v>
      </c>
    </row>
    <row r="9" customFormat="false" ht="15" hidden="false" customHeight="false" outlineLevel="0" collapsed="false">
      <c r="A9" s="0" t="n">
        <v>6</v>
      </c>
      <c r="B9" s="0" t="s">
        <v>185</v>
      </c>
      <c r="C9" s="0" t="s">
        <v>16</v>
      </c>
      <c r="D9" s="0" t="s">
        <v>151</v>
      </c>
      <c r="E9" s="0" t="n">
        <v>24</v>
      </c>
      <c r="F9" s="0" t="n">
        <v>129.66</v>
      </c>
      <c r="G9" s="0" t="n">
        <v>220</v>
      </c>
      <c r="H9" s="0" t="n">
        <v>273</v>
      </c>
      <c r="I9" s="0" t="n">
        <v>88</v>
      </c>
      <c r="J9" s="0" t="n">
        <v>35</v>
      </c>
      <c r="K9" s="0" t="n">
        <v>9</v>
      </c>
      <c r="L9" s="0" t="n">
        <v>14</v>
      </c>
      <c r="M9" s="0" t="n">
        <v>1</v>
      </c>
      <c r="N9" s="0" t="n">
        <f aca="false">IF((K9+L9)&gt;0,ROUND(K9/(K9+L9),3),0)</f>
        <v>0.391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184</v>
      </c>
      <c r="C4" s="0" t="s">
        <v>16</v>
      </c>
      <c r="D4" s="0" t="s">
        <v>155</v>
      </c>
      <c r="E4" s="0" t="n">
        <v>23</v>
      </c>
      <c r="F4" s="0" t="n">
        <v>123.67</v>
      </c>
      <c r="G4" s="0" t="n">
        <v>158</v>
      </c>
      <c r="H4" s="0" t="n">
        <v>218</v>
      </c>
      <c r="I4" s="0" t="n">
        <v>69</v>
      </c>
      <c r="J4" s="0" t="n">
        <v>44</v>
      </c>
      <c r="K4" s="0" t="n">
        <v>16</v>
      </c>
      <c r="L4" s="0" t="n">
        <v>5</v>
      </c>
      <c r="M4" s="0" t="n">
        <v>2</v>
      </c>
      <c r="N4" s="0" t="n">
        <f aca="false">IF((K4+L4)&gt;0,ROUND(K4/(K4+L4),3),0)</f>
        <v>0.762</v>
      </c>
    </row>
    <row r="5" customFormat="false" ht="15" hidden="false" customHeight="false" outlineLevel="0" collapsed="false">
      <c r="A5" s="0" t="n">
        <v>2</v>
      </c>
      <c r="B5" s="0" t="s">
        <v>173</v>
      </c>
      <c r="C5" s="0" t="s">
        <v>16</v>
      </c>
      <c r="D5" s="0" t="s">
        <v>151</v>
      </c>
      <c r="E5" s="0" t="n">
        <v>24</v>
      </c>
      <c r="F5" s="0" t="n">
        <v>121.33</v>
      </c>
      <c r="G5" s="0" t="n">
        <v>181</v>
      </c>
      <c r="H5" s="0" t="n">
        <v>236</v>
      </c>
      <c r="I5" s="0" t="n">
        <v>78</v>
      </c>
      <c r="J5" s="0" t="n">
        <v>41</v>
      </c>
      <c r="K5" s="0" t="n">
        <v>14</v>
      </c>
      <c r="L5" s="0" t="n">
        <v>9</v>
      </c>
      <c r="M5" s="0" t="n">
        <v>0</v>
      </c>
      <c r="N5" s="0" t="n">
        <f aca="false">IF((K5+L5)&gt;0,ROUND(K5/(K5+L5),3),0)</f>
        <v>0.609</v>
      </c>
    </row>
    <row r="6" customFormat="false" ht="15" hidden="false" customHeight="false" outlineLevel="0" collapsed="false">
      <c r="A6" s="0" t="n">
        <v>3</v>
      </c>
      <c r="B6" s="0" t="s">
        <v>150</v>
      </c>
      <c r="C6" s="0" t="s">
        <v>16</v>
      </c>
      <c r="D6" s="0" t="s">
        <v>153</v>
      </c>
      <c r="E6" s="0" t="n">
        <v>20</v>
      </c>
      <c r="F6" s="0" t="n">
        <v>106.66</v>
      </c>
      <c r="G6" s="0" t="n">
        <v>178</v>
      </c>
      <c r="H6" s="0" t="n">
        <v>237</v>
      </c>
      <c r="I6" s="0" t="n">
        <v>41</v>
      </c>
      <c r="J6" s="0" t="n">
        <v>45</v>
      </c>
      <c r="K6" s="0" t="n">
        <v>8</v>
      </c>
      <c r="L6" s="0" t="n">
        <v>11</v>
      </c>
      <c r="M6" s="0" t="n">
        <v>1</v>
      </c>
      <c r="N6" s="0" t="n">
        <f aca="false">IF((K6+L6)&gt;0,ROUND(K6/(K6+L6),3),0)</f>
        <v>0.421</v>
      </c>
    </row>
    <row r="7" customFormat="false" ht="15" hidden="false" customHeight="false" outlineLevel="0" collapsed="false">
      <c r="A7" s="0" t="n">
        <v>4</v>
      </c>
      <c r="B7" s="0" t="s">
        <v>180</v>
      </c>
      <c r="C7" s="0" t="s">
        <v>16</v>
      </c>
      <c r="D7" s="0" t="s">
        <v>157</v>
      </c>
      <c r="E7" s="0" t="n">
        <v>25</v>
      </c>
      <c r="F7" s="0" t="n">
        <v>134</v>
      </c>
      <c r="G7" s="0" t="n">
        <v>232</v>
      </c>
      <c r="H7" s="0" t="n">
        <v>302</v>
      </c>
      <c r="I7" s="0" t="n">
        <v>72</v>
      </c>
      <c r="J7" s="0" t="n">
        <v>36</v>
      </c>
      <c r="K7" s="0" t="n">
        <v>10</v>
      </c>
      <c r="L7" s="0" t="n">
        <v>15</v>
      </c>
      <c r="M7" s="0" t="n">
        <v>0</v>
      </c>
      <c r="N7" s="0" t="n">
        <f aca="false">IF((K7+L7)&gt;0,ROUND(K7/(K7+L7),3),0)</f>
        <v>0.4</v>
      </c>
    </row>
    <row r="8" customFormat="false" ht="15" hidden="false" customHeight="false" outlineLevel="0" collapsed="false">
      <c r="A8" s="0" t="n">
        <v>5</v>
      </c>
      <c r="B8" s="0" t="s">
        <v>185</v>
      </c>
      <c r="C8" s="0" t="s">
        <v>16</v>
      </c>
      <c r="D8" s="0" t="s">
        <v>166</v>
      </c>
      <c r="E8" s="0" t="n">
        <v>17</v>
      </c>
      <c r="F8" s="0" t="n">
        <v>81.66</v>
      </c>
      <c r="G8" s="0" t="n">
        <v>142</v>
      </c>
      <c r="H8" s="0" t="n">
        <v>180</v>
      </c>
      <c r="I8" s="0" t="n">
        <v>55</v>
      </c>
      <c r="J8" s="0" t="n">
        <v>18</v>
      </c>
      <c r="K8" s="0" t="n">
        <v>10</v>
      </c>
      <c r="L8" s="0" t="n">
        <v>6</v>
      </c>
      <c r="M8" s="0" t="n">
        <v>1</v>
      </c>
      <c r="N8" s="0" t="n">
        <f aca="false">IF((K8+L8)&gt;0,ROUND(K8/(K8+L8),3),0)</f>
        <v>0.625</v>
      </c>
    </row>
    <row r="9" customFormat="false" ht="15" hidden="false" customHeight="false" outlineLevel="0" collapsed="false">
      <c r="A9" s="0" t="n">
        <v>6</v>
      </c>
      <c r="B9" s="0" t="s">
        <v>168</v>
      </c>
      <c r="C9" s="0" t="s">
        <v>16</v>
      </c>
      <c r="D9" s="0" t="s">
        <v>167</v>
      </c>
      <c r="E9" s="0" t="n">
        <v>21</v>
      </c>
      <c r="F9" s="0" t="n">
        <v>116.33</v>
      </c>
      <c r="G9" s="0" t="n">
        <v>220</v>
      </c>
      <c r="H9" s="0" t="n">
        <v>276</v>
      </c>
      <c r="I9" s="0" t="n">
        <v>56</v>
      </c>
      <c r="J9" s="0" t="n">
        <v>35</v>
      </c>
      <c r="K9" s="0" t="n">
        <v>3</v>
      </c>
      <c r="L9" s="0" t="n">
        <v>17</v>
      </c>
      <c r="M9" s="0" t="n">
        <v>1</v>
      </c>
      <c r="N9" s="0" t="n">
        <f aca="false">IF((K9+L9)&gt;0,ROUND(K9/(K9+L9),3),0)</f>
        <v>0.15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166</v>
      </c>
      <c r="E4" s="0" t="n">
        <v>25</v>
      </c>
      <c r="F4" s="0" t="n">
        <v>159.33</v>
      </c>
      <c r="G4" s="0" t="n">
        <v>150</v>
      </c>
      <c r="H4" s="0" t="n">
        <v>250</v>
      </c>
      <c r="I4" s="0" t="n">
        <v>30</v>
      </c>
      <c r="J4" s="0" t="n">
        <v>55</v>
      </c>
      <c r="K4" s="0" t="n">
        <v>16</v>
      </c>
      <c r="L4" s="0" t="n">
        <v>8</v>
      </c>
      <c r="M4" s="0" t="n">
        <v>1</v>
      </c>
      <c r="N4" s="0" t="n">
        <f aca="false">IF((K4+L4)&gt;0,ROUND(K4/(K4+L4),3),0)</f>
        <v>0.667</v>
      </c>
    </row>
    <row r="5" customFormat="false" ht="15" hidden="false" customHeight="false" outlineLevel="0" collapsed="false">
      <c r="A5" s="0" t="n">
        <v>2</v>
      </c>
      <c r="B5" s="0" t="s">
        <v>173</v>
      </c>
      <c r="C5" s="0" t="s">
        <v>16</v>
      </c>
      <c r="D5" s="0" t="s">
        <v>155</v>
      </c>
      <c r="E5" s="0" t="n">
        <v>22</v>
      </c>
      <c r="F5" s="0" t="n">
        <v>118.33</v>
      </c>
      <c r="G5" s="0" t="n">
        <v>150</v>
      </c>
      <c r="H5" s="0" t="n">
        <v>225</v>
      </c>
      <c r="I5" s="0" t="n">
        <v>43</v>
      </c>
      <c r="J5" s="0" t="n">
        <v>34</v>
      </c>
      <c r="K5" s="0" t="n">
        <v>12</v>
      </c>
      <c r="L5" s="0" t="n">
        <v>5</v>
      </c>
      <c r="M5" s="0" t="n">
        <v>3</v>
      </c>
      <c r="N5" s="0" t="n">
        <f aca="false">IF((K5+L5)&gt;0,ROUND(K5/(K5+L5),3),0)</f>
        <v>0.706</v>
      </c>
    </row>
    <row r="6" customFormat="false" ht="15" hidden="false" customHeight="false" outlineLevel="0" collapsed="false">
      <c r="A6" s="0" t="n">
        <v>3</v>
      </c>
      <c r="B6" s="0" t="s">
        <v>182</v>
      </c>
      <c r="C6" s="0" t="s">
        <v>16</v>
      </c>
      <c r="D6" s="0" t="s">
        <v>157</v>
      </c>
      <c r="E6" s="0" t="n">
        <v>23</v>
      </c>
      <c r="F6" s="0" t="n">
        <v>127</v>
      </c>
      <c r="G6" s="0" t="n">
        <v>187</v>
      </c>
      <c r="H6" s="0" t="n">
        <v>277</v>
      </c>
      <c r="I6" s="0" t="n">
        <v>60</v>
      </c>
      <c r="J6" s="0" t="n">
        <v>41</v>
      </c>
      <c r="K6" s="0" t="n">
        <v>9</v>
      </c>
      <c r="L6" s="0" t="n">
        <v>11</v>
      </c>
      <c r="M6" s="0" t="n">
        <v>3</v>
      </c>
      <c r="N6" s="0" t="n">
        <f aca="false">IF((K6+L6)&gt;0,ROUND(K6/(K6+L6),3),0)</f>
        <v>0.45</v>
      </c>
    </row>
    <row r="7" customFormat="false" ht="15" hidden="false" customHeight="false" outlineLevel="0" collapsed="false">
      <c r="A7" s="0" t="n">
        <v>4</v>
      </c>
      <c r="B7" s="0" t="s">
        <v>188</v>
      </c>
      <c r="C7" s="0" t="s">
        <v>16</v>
      </c>
      <c r="D7" s="0" t="s">
        <v>151</v>
      </c>
      <c r="E7" s="0" t="n">
        <v>18</v>
      </c>
      <c r="F7" s="0" t="n">
        <v>88.33</v>
      </c>
      <c r="G7" s="0" t="n">
        <v>141</v>
      </c>
      <c r="H7" s="0" t="n">
        <v>169</v>
      </c>
      <c r="I7" s="0" t="n">
        <v>72</v>
      </c>
      <c r="J7" s="0" t="n">
        <v>24</v>
      </c>
      <c r="K7" s="0" t="n">
        <v>8</v>
      </c>
      <c r="L7" s="0" t="n">
        <v>8</v>
      </c>
      <c r="M7" s="0" t="n">
        <v>1</v>
      </c>
      <c r="N7" s="0" t="n">
        <f aca="false">IF((K7+L7)&gt;0,ROUND(K7/(K7+L7),3),0)</f>
        <v>0.5</v>
      </c>
    </row>
    <row r="8" customFormat="false" ht="15" hidden="false" customHeight="false" outlineLevel="0" collapsed="false">
      <c r="A8" s="0" t="n">
        <v>5</v>
      </c>
      <c r="B8" s="0" t="s">
        <v>168</v>
      </c>
      <c r="C8" s="0" t="s">
        <v>16</v>
      </c>
      <c r="D8" s="0" t="s">
        <v>153</v>
      </c>
      <c r="E8" s="0" t="n">
        <v>20</v>
      </c>
      <c r="F8" s="0" t="n">
        <v>110</v>
      </c>
      <c r="G8" s="0" t="n">
        <v>180</v>
      </c>
      <c r="H8" s="0" t="n">
        <v>265</v>
      </c>
      <c r="I8" s="0" t="n">
        <v>31</v>
      </c>
      <c r="J8" s="0" t="n">
        <v>35</v>
      </c>
      <c r="K8" s="0" t="n">
        <v>9</v>
      </c>
      <c r="L8" s="0" t="n">
        <v>11</v>
      </c>
      <c r="M8" s="0" t="n">
        <v>0</v>
      </c>
      <c r="N8" s="0" t="n">
        <f aca="false">IF((K8+L8)&gt;0,ROUND(K8/(K8+L8),3),0)</f>
        <v>0.45</v>
      </c>
    </row>
    <row r="9" customFormat="false" ht="15" hidden="false" customHeight="false" outlineLevel="0" collapsed="false">
      <c r="A9" s="0" t="n">
        <v>6</v>
      </c>
      <c r="B9" s="0" t="s">
        <v>180</v>
      </c>
      <c r="C9" s="0" t="s">
        <v>16</v>
      </c>
      <c r="D9" s="0" t="s">
        <v>167</v>
      </c>
      <c r="E9" s="0" t="n">
        <v>25</v>
      </c>
      <c r="F9" s="0" t="n">
        <v>123</v>
      </c>
      <c r="G9" s="0" t="n">
        <v>237</v>
      </c>
      <c r="H9" s="0" t="n">
        <v>283</v>
      </c>
      <c r="I9" s="0" t="n">
        <v>80</v>
      </c>
      <c r="J9" s="0" t="n">
        <v>38</v>
      </c>
      <c r="K9" s="0" t="n">
        <v>5</v>
      </c>
      <c r="L9" s="0" t="n">
        <v>19</v>
      </c>
      <c r="M9" s="0" t="n">
        <v>1</v>
      </c>
      <c r="N9" s="0" t="n">
        <f aca="false">IF((K9+L9)&gt;0,ROUND(K9/(K9+L9),3),0)</f>
        <v>0.208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153</v>
      </c>
      <c r="E4" s="0" t="n">
        <v>23</v>
      </c>
      <c r="F4" s="0" t="n">
        <v>139</v>
      </c>
      <c r="G4" s="0" t="n">
        <v>139</v>
      </c>
      <c r="H4" s="0" t="n">
        <v>219</v>
      </c>
      <c r="I4" s="0" t="n">
        <v>26</v>
      </c>
      <c r="J4" s="0" t="n">
        <v>45</v>
      </c>
      <c r="K4" s="0" t="n">
        <v>13</v>
      </c>
      <c r="L4" s="0" t="n">
        <v>9</v>
      </c>
      <c r="M4" s="0" t="n">
        <v>1</v>
      </c>
      <c r="N4" s="0" t="n">
        <f aca="false">IF((K4+L4)&gt;0,ROUND(K4/(K4+L4),3),0)</f>
        <v>0.591</v>
      </c>
    </row>
    <row r="5" customFormat="false" ht="15" hidden="false" customHeight="false" outlineLevel="0" collapsed="false">
      <c r="A5" s="0" t="n">
        <v>2</v>
      </c>
      <c r="B5" s="0" t="s">
        <v>190</v>
      </c>
      <c r="C5" s="0" t="s">
        <v>16</v>
      </c>
      <c r="D5" s="0" t="s">
        <v>167</v>
      </c>
      <c r="E5" s="0" t="n">
        <v>19</v>
      </c>
      <c r="F5" s="0" t="n">
        <v>115</v>
      </c>
      <c r="G5" s="0" t="n">
        <v>122</v>
      </c>
      <c r="H5" s="0" t="n">
        <v>187</v>
      </c>
      <c r="I5" s="0" t="n">
        <v>26</v>
      </c>
      <c r="J5" s="0" t="n">
        <v>45</v>
      </c>
      <c r="K5" s="0" t="n">
        <v>12</v>
      </c>
      <c r="L5" s="0" t="n">
        <v>7</v>
      </c>
      <c r="M5" s="0" t="n">
        <v>0</v>
      </c>
      <c r="N5" s="0" t="n">
        <f aca="false">IF((K5+L5)&gt;0,ROUND(K5/(K5+L5),3),0)</f>
        <v>0.632</v>
      </c>
    </row>
    <row r="6" customFormat="false" ht="15" hidden="false" customHeight="false" outlineLevel="0" collapsed="false">
      <c r="A6" s="0" t="n">
        <v>3</v>
      </c>
      <c r="B6" s="0" t="s">
        <v>168</v>
      </c>
      <c r="C6" s="0" t="s">
        <v>16</v>
      </c>
      <c r="D6" s="0" t="s">
        <v>155</v>
      </c>
      <c r="E6" s="0" t="n">
        <v>25</v>
      </c>
      <c r="F6" s="0" t="n">
        <v>153.66</v>
      </c>
      <c r="G6" s="0" t="n">
        <v>169</v>
      </c>
      <c r="H6" s="0" t="n">
        <v>262</v>
      </c>
      <c r="I6" s="0" t="n">
        <v>49</v>
      </c>
      <c r="J6" s="0" t="n">
        <v>32</v>
      </c>
      <c r="K6" s="0" t="n">
        <v>18</v>
      </c>
      <c r="L6" s="0" t="n">
        <v>7</v>
      </c>
      <c r="M6" s="0" t="n">
        <v>0</v>
      </c>
      <c r="N6" s="0" t="n">
        <f aca="false">IF((K6+L6)&gt;0,ROUND(K6/(K6+L6),3),0)</f>
        <v>0.72</v>
      </c>
    </row>
    <row r="7" customFormat="false" ht="15" hidden="false" customHeight="false" outlineLevel="0" collapsed="false">
      <c r="A7" s="0" t="n">
        <v>4</v>
      </c>
      <c r="B7" s="0" t="s">
        <v>180</v>
      </c>
      <c r="C7" s="0" t="s">
        <v>16</v>
      </c>
      <c r="D7" s="0" t="s">
        <v>157</v>
      </c>
      <c r="E7" s="0" t="n">
        <v>25</v>
      </c>
      <c r="F7" s="0" t="n">
        <v>149</v>
      </c>
      <c r="G7" s="0" t="n">
        <v>209</v>
      </c>
      <c r="H7" s="0" t="n">
        <v>310</v>
      </c>
      <c r="I7" s="0" t="n">
        <v>41</v>
      </c>
      <c r="J7" s="0" t="n">
        <v>33</v>
      </c>
      <c r="K7" s="0" t="n">
        <v>13</v>
      </c>
      <c r="L7" s="0" t="n">
        <v>11</v>
      </c>
      <c r="M7" s="0" t="n">
        <v>1</v>
      </c>
      <c r="N7" s="0" t="n">
        <f aca="false">IF((K7+L7)&gt;0,ROUND(K7/(K7+L7),3),0)</f>
        <v>0.542</v>
      </c>
    </row>
    <row r="8" customFormat="false" ht="15" hidden="false" customHeight="false" outlineLevel="0" collapsed="false">
      <c r="A8" s="0" t="n">
        <v>5</v>
      </c>
      <c r="B8" s="0" t="s">
        <v>173</v>
      </c>
      <c r="C8" s="0" t="s">
        <v>16</v>
      </c>
      <c r="D8" s="0" t="s">
        <v>166</v>
      </c>
      <c r="E8" s="0" t="n">
        <v>21</v>
      </c>
      <c r="F8" s="0" t="n">
        <v>120.66</v>
      </c>
      <c r="G8" s="0" t="n">
        <v>177</v>
      </c>
      <c r="H8" s="0" t="n">
        <v>243</v>
      </c>
      <c r="I8" s="0" t="n">
        <v>52</v>
      </c>
      <c r="J8" s="0" t="n">
        <v>27</v>
      </c>
      <c r="K8" s="0" t="n">
        <v>7</v>
      </c>
      <c r="L8" s="0" t="n">
        <v>12</v>
      </c>
      <c r="M8" s="0" t="n">
        <v>2</v>
      </c>
      <c r="N8" s="0" t="n">
        <f aca="false">IF((K8+L8)&gt;0,ROUND(K8/(K8+L8),3),0)</f>
        <v>0.368</v>
      </c>
    </row>
    <row r="9" customFormat="false" ht="15" hidden="false" customHeight="false" outlineLevel="0" collapsed="false">
      <c r="A9" s="0" t="n">
        <v>6</v>
      </c>
      <c r="B9" s="0" t="s">
        <v>182</v>
      </c>
      <c r="C9" s="0" t="s">
        <v>16</v>
      </c>
      <c r="D9" s="0" t="s">
        <v>151</v>
      </c>
      <c r="E9" s="0" t="n">
        <v>21</v>
      </c>
      <c r="F9" s="0" t="n">
        <v>111.33</v>
      </c>
      <c r="G9" s="0" t="n">
        <v>200</v>
      </c>
      <c r="H9" s="0" t="n">
        <v>249</v>
      </c>
      <c r="I9" s="0" t="n">
        <v>63</v>
      </c>
      <c r="J9" s="0" t="n">
        <v>4</v>
      </c>
      <c r="K9" s="0" t="n">
        <v>1</v>
      </c>
      <c r="L9" s="0" t="n">
        <v>16</v>
      </c>
      <c r="M9" s="0" t="n">
        <v>3</v>
      </c>
      <c r="N9" s="0" t="n">
        <f aca="false">IF((K9+L9)&gt;0,ROUND(K9/(K9+L9),3),0)</f>
        <v>0.059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151</v>
      </c>
      <c r="E4" s="0" t="n">
        <v>25</v>
      </c>
      <c r="F4" s="0" t="n">
        <v>145.33</v>
      </c>
      <c r="G4" s="0" t="n">
        <v>165</v>
      </c>
      <c r="H4" s="0" t="n">
        <v>235</v>
      </c>
      <c r="I4" s="0" t="n">
        <v>47</v>
      </c>
      <c r="J4" s="0" t="n">
        <v>72</v>
      </c>
      <c r="K4" s="0" t="n">
        <v>16</v>
      </c>
      <c r="L4" s="0" t="n">
        <v>8</v>
      </c>
      <c r="M4" s="0" t="n">
        <v>0</v>
      </c>
      <c r="N4" s="0" t="n">
        <f aca="false">IF((K4+L4)&gt;0,ROUND(K4/(K4+L4),3),0)</f>
        <v>0.667</v>
      </c>
    </row>
    <row r="5" customFormat="false" ht="15" hidden="false" customHeight="false" outlineLevel="0" collapsed="false">
      <c r="A5" s="0" t="n">
        <v>2</v>
      </c>
      <c r="B5" s="0" t="s">
        <v>168</v>
      </c>
      <c r="C5" s="0" t="s">
        <v>16</v>
      </c>
      <c r="D5" s="0" t="s">
        <v>155</v>
      </c>
      <c r="E5" s="0" t="n">
        <v>24</v>
      </c>
      <c r="F5" s="0" t="n">
        <v>151.33</v>
      </c>
      <c r="G5" s="0" t="n">
        <v>183</v>
      </c>
      <c r="H5" s="0" t="n">
        <v>321</v>
      </c>
      <c r="I5" s="0" t="n">
        <v>42</v>
      </c>
      <c r="J5" s="0" t="n">
        <v>38</v>
      </c>
      <c r="K5" s="0" t="n">
        <v>18</v>
      </c>
      <c r="L5" s="0" t="n">
        <v>6</v>
      </c>
      <c r="M5" s="0" t="n">
        <v>0</v>
      </c>
      <c r="N5" s="0" t="n">
        <f aca="false">IF((K5+L5)&gt;0,ROUND(K5/(K5+L5),3),0)</f>
        <v>0.75</v>
      </c>
    </row>
    <row r="6" customFormat="false" ht="15" hidden="false" customHeight="false" outlineLevel="0" collapsed="false">
      <c r="A6" s="0" t="n">
        <v>3</v>
      </c>
      <c r="B6" s="0" t="s">
        <v>173</v>
      </c>
      <c r="C6" s="0" t="s">
        <v>16</v>
      </c>
      <c r="D6" s="0" t="s">
        <v>167</v>
      </c>
      <c r="E6" s="0" t="n">
        <v>22</v>
      </c>
      <c r="F6" s="0" t="n">
        <v>121</v>
      </c>
      <c r="G6" s="0" t="n">
        <v>203</v>
      </c>
      <c r="H6" s="0" t="n">
        <v>252</v>
      </c>
      <c r="I6" s="0" t="n">
        <v>42</v>
      </c>
      <c r="J6" s="0" t="n">
        <v>38</v>
      </c>
      <c r="K6" s="0" t="n">
        <v>10</v>
      </c>
      <c r="L6" s="0" t="n">
        <v>12</v>
      </c>
      <c r="M6" s="0" t="n">
        <v>0</v>
      </c>
      <c r="N6" s="0" t="n">
        <f aca="false">IF((K6+L6)&gt;0,ROUND(K6/(K6+L6),3),0)</f>
        <v>0.455</v>
      </c>
    </row>
    <row r="7" customFormat="false" ht="15" hidden="false" customHeight="false" outlineLevel="0" collapsed="false">
      <c r="A7" s="0" t="n">
        <v>4</v>
      </c>
      <c r="B7" s="0" t="s">
        <v>188</v>
      </c>
      <c r="C7" s="0" t="s">
        <v>16</v>
      </c>
      <c r="D7" s="0" t="s">
        <v>153</v>
      </c>
      <c r="E7" s="0" t="n">
        <v>20</v>
      </c>
      <c r="F7" s="0" t="n">
        <v>108.33</v>
      </c>
      <c r="G7" s="0" t="n">
        <v>182</v>
      </c>
      <c r="H7" s="0" t="n">
        <v>249</v>
      </c>
      <c r="I7" s="0" t="n">
        <v>48</v>
      </c>
      <c r="J7" s="0" t="n">
        <v>28</v>
      </c>
      <c r="K7" s="0" t="n">
        <v>12</v>
      </c>
      <c r="L7" s="0" t="n">
        <v>7</v>
      </c>
      <c r="M7" s="0" t="n">
        <v>1</v>
      </c>
      <c r="N7" s="0" t="n">
        <f aca="false">IF((K7+L7)&gt;0,ROUND(K7/(K7+L7),3),0)</f>
        <v>0.632</v>
      </c>
    </row>
    <row r="8" customFormat="false" ht="15" hidden="false" customHeight="false" outlineLevel="0" collapsed="false">
      <c r="A8" s="0" t="n">
        <v>5</v>
      </c>
      <c r="B8" s="0" t="s">
        <v>175</v>
      </c>
      <c r="C8" s="0" t="s">
        <v>16</v>
      </c>
      <c r="D8" s="0" t="s">
        <v>166</v>
      </c>
      <c r="E8" s="0" t="n">
        <v>21</v>
      </c>
      <c r="F8" s="0" t="n">
        <v>113.33</v>
      </c>
      <c r="G8" s="0" t="n">
        <v>225</v>
      </c>
      <c r="H8" s="0" t="n">
        <v>287</v>
      </c>
      <c r="I8" s="0" t="n">
        <v>33</v>
      </c>
      <c r="J8" s="0" t="n">
        <v>13</v>
      </c>
      <c r="K8" s="0" t="n">
        <v>5</v>
      </c>
      <c r="L8" s="0" t="n">
        <v>15</v>
      </c>
      <c r="M8" s="0" t="n">
        <v>1</v>
      </c>
      <c r="N8" s="0" t="n">
        <f aca="false">IF((K8+L8)&gt;0,ROUND(K8/(K8+L8),3),0)</f>
        <v>0.25</v>
      </c>
    </row>
    <row r="9" customFormat="false" ht="15" hidden="false" customHeight="false" outlineLevel="0" collapsed="false">
      <c r="A9" s="0" t="n">
        <v>6</v>
      </c>
      <c r="B9" s="0" t="s">
        <v>182</v>
      </c>
      <c r="C9" s="0" t="s">
        <v>16</v>
      </c>
      <c r="D9" s="0" t="s">
        <v>157</v>
      </c>
      <c r="E9" s="0" t="n">
        <v>20</v>
      </c>
      <c r="F9" s="0" t="n">
        <v>81</v>
      </c>
      <c r="G9" s="0" t="n">
        <v>183</v>
      </c>
      <c r="H9" s="0" t="n">
        <v>214</v>
      </c>
      <c r="I9" s="0" t="n">
        <v>70</v>
      </c>
      <c r="J9" s="0" t="n">
        <v>39</v>
      </c>
      <c r="K9" s="0" t="n">
        <v>7</v>
      </c>
      <c r="L9" s="0" t="n">
        <v>11</v>
      </c>
      <c r="M9" s="0" t="n">
        <v>0</v>
      </c>
      <c r="N9" s="0" t="n">
        <f aca="false">IF((K9+L9)&gt;0,ROUND(K9/(K9+L9),3),0)</f>
        <v>0.389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190</v>
      </c>
      <c r="C4" s="0" t="s">
        <v>16</v>
      </c>
      <c r="D4" s="0" t="s">
        <v>151</v>
      </c>
      <c r="E4" s="0" t="n">
        <v>9</v>
      </c>
      <c r="F4" s="0" t="n">
        <f aca="false">153/3</f>
        <v>51</v>
      </c>
      <c r="G4" s="0" t="n">
        <v>61</v>
      </c>
      <c r="H4" s="0" t="n">
        <v>107</v>
      </c>
      <c r="I4" s="0" t="n">
        <v>15</v>
      </c>
      <c r="J4" s="0" t="n">
        <v>24</v>
      </c>
      <c r="K4" s="0" t="n">
        <v>5</v>
      </c>
      <c r="L4" s="0" t="n">
        <v>3</v>
      </c>
      <c r="M4" s="0" t="n">
        <v>1</v>
      </c>
      <c r="N4" s="0" t="n">
        <f aca="false">IF((K4+L4)&gt;0,ROUND(K4/(K4+L4),3),0)</f>
        <v>0.625</v>
      </c>
    </row>
    <row r="5" customFormat="false" ht="15" hidden="false" customHeight="false" outlineLevel="0" collapsed="false">
      <c r="A5" s="0" t="n">
        <v>2</v>
      </c>
      <c r="B5" s="0" t="s">
        <v>168</v>
      </c>
      <c r="C5" s="0" t="s">
        <v>16</v>
      </c>
      <c r="D5" s="0" t="s">
        <v>155</v>
      </c>
      <c r="E5" s="0" t="n">
        <v>15</v>
      </c>
      <c r="F5" s="0" t="n">
        <v>86.3333333333333</v>
      </c>
      <c r="G5" s="0" t="n">
        <v>106</v>
      </c>
      <c r="H5" s="0" t="n">
        <v>188</v>
      </c>
      <c r="I5" s="0" t="n">
        <v>16</v>
      </c>
      <c r="J5" s="0" t="n">
        <v>27</v>
      </c>
      <c r="K5" s="0" t="n">
        <v>6</v>
      </c>
      <c r="L5" s="0" t="n">
        <v>6</v>
      </c>
      <c r="M5" s="0" t="n">
        <v>3</v>
      </c>
      <c r="N5" s="0" t="n">
        <f aca="false">IF((K5+L5)&gt;0,ROUND(K5/(K5+L5),3),0)</f>
        <v>0.5</v>
      </c>
    </row>
    <row r="6" customFormat="false" ht="15" hidden="false" customHeight="false" outlineLevel="0" collapsed="false">
      <c r="A6" s="0" t="n">
        <v>3</v>
      </c>
      <c r="B6" s="0" t="s">
        <v>150</v>
      </c>
      <c r="C6" s="0" t="s">
        <v>16</v>
      </c>
      <c r="D6" s="0" t="s">
        <v>167</v>
      </c>
      <c r="E6" s="0" t="n">
        <v>14</v>
      </c>
      <c r="F6" s="0" t="n">
        <v>75</v>
      </c>
      <c r="G6" s="0" t="n">
        <v>225</v>
      </c>
      <c r="H6" s="0" t="n">
        <v>150</v>
      </c>
      <c r="I6" s="0" t="n">
        <v>23</v>
      </c>
      <c r="J6" s="0" t="n">
        <v>23</v>
      </c>
      <c r="K6" s="0" t="n">
        <v>9</v>
      </c>
      <c r="L6" s="0" t="n">
        <v>3</v>
      </c>
      <c r="M6" s="0" t="n">
        <v>1</v>
      </c>
      <c r="N6" s="0" t="n">
        <f aca="false">IF((K6+L6)&gt;0,ROUND(K6/(K6+L6),3),0)</f>
        <v>0.75</v>
      </c>
    </row>
    <row r="7" customFormat="false" ht="15" hidden="false" customHeight="false" outlineLevel="0" collapsed="false">
      <c r="A7" s="0" t="n">
        <v>4</v>
      </c>
      <c r="B7" s="0" t="s">
        <v>193</v>
      </c>
      <c r="C7" s="0" t="s">
        <v>16</v>
      </c>
      <c r="D7" s="0" t="s">
        <v>153</v>
      </c>
      <c r="E7" s="0" t="n">
        <v>8</v>
      </c>
      <c r="F7" s="0" t="n">
        <v>39.6666666666667</v>
      </c>
      <c r="G7" s="0" t="n">
        <v>119</v>
      </c>
      <c r="H7" s="0" t="n">
        <v>87</v>
      </c>
      <c r="I7" s="0" t="n">
        <v>16</v>
      </c>
      <c r="J7" s="0" t="n">
        <v>16</v>
      </c>
      <c r="K7" s="0" t="n">
        <v>5</v>
      </c>
      <c r="L7" s="0" t="n">
        <v>2</v>
      </c>
      <c r="M7" s="0" t="n">
        <v>1</v>
      </c>
      <c r="N7" s="0" t="n">
        <f aca="false">IF((K7+L7)&gt;0,ROUND(K7/(K7+L7),3),0)</f>
        <v>0.714</v>
      </c>
    </row>
    <row r="8" customFormat="false" ht="15" hidden="false" customHeight="false" outlineLevel="0" collapsed="false">
      <c r="A8" s="0" t="n">
        <v>5</v>
      </c>
      <c r="B8" s="0" t="s">
        <v>175</v>
      </c>
      <c r="C8" s="0" t="s">
        <v>16</v>
      </c>
      <c r="D8" s="0" t="s">
        <v>166</v>
      </c>
      <c r="E8" s="0" t="n">
        <v>13</v>
      </c>
      <c r="F8" s="0" t="n">
        <v>65</v>
      </c>
      <c r="G8" s="0" t="n">
        <v>195</v>
      </c>
      <c r="H8" s="0" t="n">
        <v>151</v>
      </c>
      <c r="I8" s="0" t="n">
        <v>41</v>
      </c>
      <c r="J8" s="0" t="n">
        <v>41</v>
      </c>
      <c r="K8" s="0" t="n">
        <v>6</v>
      </c>
      <c r="L8" s="0" t="n">
        <v>5</v>
      </c>
      <c r="M8" s="0" t="n">
        <v>1</v>
      </c>
      <c r="N8" s="0" t="n">
        <f aca="false">IF((K8+L8)&gt;0,ROUND(K8/(K8+L8),3),0)</f>
        <v>0.545</v>
      </c>
    </row>
    <row r="9" customFormat="false" ht="15" hidden="false" customHeight="false" outlineLevel="0" collapsed="false">
      <c r="A9" s="0" t="n">
        <v>6</v>
      </c>
      <c r="B9" s="0" t="s">
        <v>173</v>
      </c>
      <c r="C9" s="0" t="s">
        <v>16</v>
      </c>
      <c r="D9" s="0" t="s">
        <v>157</v>
      </c>
      <c r="E9" s="0" t="n">
        <v>5</v>
      </c>
      <c r="F9" s="0" t="n">
        <v>21.6666666666667</v>
      </c>
      <c r="G9" s="0" t="n">
        <v>65</v>
      </c>
      <c r="H9" s="0" t="n">
        <v>87</v>
      </c>
      <c r="I9" s="0" t="n">
        <v>11</v>
      </c>
      <c r="J9" s="0" t="n">
        <v>11</v>
      </c>
      <c r="K9" s="0" t="n">
        <v>0</v>
      </c>
      <c r="L9" s="0" t="n">
        <v>5</v>
      </c>
      <c r="M9" s="0" t="n">
        <v>0</v>
      </c>
      <c r="N9" s="0" t="n">
        <f aca="false">IF((K9+L9)&gt;0,ROUND(K9/(K9+L9),3),0)</f>
        <v>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155</v>
      </c>
      <c r="E4" s="0" t="n">
        <v>16</v>
      </c>
      <c r="F4" s="0" t="n">
        <v>91.3333333333333</v>
      </c>
      <c r="G4" s="0" t="n">
        <v>123</v>
      </c>
      <c r="H4" s="0" t="n">
        <v>168</v>
      </c>
      <c r="I4" s="0" t="n">
        <v>24</v>
      </c>
      <c r="J4" s="0" t="n">
        <v>37</v>
      </c>
      <c r="K4" s="0" t="n">
        <v>8</v>
      </c>
      <c r="L4" s="0" t="n">
        <v>8</v>
      </c>
      <c r="M4" s="0" t="n">
        <v>0</v>
      </c>
      <c r="N4" s="0" t="n">
        <f aca="false">IF((K4+L4)&gt;0,ROUND(K4/(K4+L4),3),0)</f>
        <v>0.5</v>
      </c>
    </row>
    <row r="5" customFormat="false" ht="15" hidden="false" customHeight="false" outlineLevel="0" collapsed="false">
      <c r="A5" s="0" t="n">
        <v>2</v>
      </c>
      <c r="B5" s="0" t="s">
        <v>188</v>
      </c>
      <c r="C5" s="0" t="s">
        <v>16</v>
      </c>
      <c r="D5" s="0" t="s">
        <v>167</v>
      </c>
      <c r="E5" s="0" t="n">
        <v>20</v>
      </c>
      <c r="F5" s="0" t="n">
        <v>109</v>
      </c>
      <c r="G5" s="0" t="n">
        <v>151</v>
      </c>
      <c r="H5" s="0" t="n">
        <v>215</v>
      </c>
      <c r="I5" s="0" t="n">
        <v>48</v>
      </c>
      <c r="J5" s="0" t="n">
        <v>27</v>
      </c>
      <c r="K5" s="0" t="n">
        <v>13</v>
      </c>
      <c r="L5" s="0" t="n">
        <v>6</v>
      </c>
      <c r="M5" s="0" t="n">
        <v>1</v>
      </c>
      <c r="N5" s="0" t="n">
        <f aca="false">IF((K5+L5)&gt;0,ROUND(K5/(K5+L5),3),0)</f>
        <v>0.684</v>
      </c>
    </row>
    <row r="6" customFormat="false" ht="15" hidden="false" customHeight="false" outlineLevel="0" collapsed="false">
      <c r="A6" s="0" t="n">
        <v>3</v>
      </c>
      <c r="B6" s="0" t="s">
        <v>190</v>
      </c>
      <c r="C6" s="0" t="s">
        <v>16</v>
      </c>
      <c r="D6" s="0" t="s">
        <v>151</v>
      </c>
      <c r="E6" s="0" t="n">
        <v>13</v>
      </c>
      <c r="F6" s="0" t="n">
        <v>68.6666666666667</v>
      </c>
      <c r="G6" s="0" t="n">
        <v>96</v>
      </c>
      <c r="H6" s="0" t="n">
        <v>135</v>
      </c>
      <c r="I6" s="0" t="n">
        <v>18</v>
      </c>
      <c r="J6" s="0" t="n">
        <v>24</v>
      </c>
      <c r="K6" s="0" t="n">
        <v>5</v>
      </c>
      <c r="L6" s="0" t="n">
        <v>8</v>
      </c>
      <c r="M6" s="0" t="n">
        <v>0</v>
      </c>
      <c r="N6" s="0" t="n">
        <f aca="false">IF((K6+L6)&gt;0,ROUND(K6/(K6+L6),3),0)</f>
        <v>0.385</v>
      </c>
    </row>
    <row r="7" customFormat="false" ht="15" hidden="false" customHeight="false" outlineLevel="0" collapsed="false">
      <c r="A7" s="0" t="n">
        <v>4</v>
      </c>
      <c r="B7" s="0" t="s">
        <v>195</v>
      </c>
      <c r="C7" s="0" t="s">
        <v>16</v>
      </c>
      <c r="D7" s="0" t="s">
        <v>166</v>
      </c>
      <c r="E7" s="0" t="n">
        <v>19</v>
      </c>
      <c r="F7" s="0" t="n">
        <v>105.333333333333</v>
      </c>
      <c r="G7" s="0" t="n">
        <v>154</v>
      </c>
      <c r="H7" s="0" t="n">
        <v>229</v>
      </c>
      <c r="I7" s="0" t="n">
        <v>42</v>
      </c>
      <c r="J7" s="0" t="n">
        <v>14</v>
      </c>
      <c r="K7" s="0" t="n">
        <v>11</v>
      </c>
      <c r="L7" s="0" t="n">
        <v>6</v>
      </c>
      <c r="M7" s="0" t="n">
        <v>1</v>
      </c>
      <c r="N7" s="0" t="n">
        <f aca="false">IF((K7+L7)&gt;0,ROUND(K7/(K7+L7),3),0)</f>
        <v>0.647</v>
      </c>
    </row>
    <row r="8" customFormat="false" ht="15" hidden="false" customHeight="false" outlineLevel="0" collapsed="false">
      <c r="A8" s="0" t="n">
        <v>5</v>
      </c>
      <c r="B8" s="0" t="s">
        <v>168</v>
      </c>
      <c r="C8" s="0" t="s">
        <v>16</v>
      </c>
      <c r="D8" s="0" t="s">
        <v>153</v>
      </c>
      <c r="E8" s="0" t="n">
        <v>17</v>
      </c>
      <c r="F8" s="0" t="n">
        <v>93</v>
      </c>
      <c r="G8" s="0" t="n">
        <v>186</v>
      </c>
      <c r="H8" s="0" t="n">
        <v>233</v>
      </c>
      <c r="I8" s="0" t="n">
        <v>32</v>
      </c>
      <c r="J8" s="0" t="n">
        <v>21</v>
      </c>
      <c r="K8" s="0" t="n">
        <v>10</v>
      </c>
      <c r="L8" s="0" t="n">
        <v>7</v>
      </c>
      <c r="M8" s="0" t="n">
        <v>0</v>
      </c>
      <c r="N8" s="0" t="n">
        <f aca="false">IF((K8+L8)&gt;0,ROUND(K8/(K8+L8),3),0)</f>
        <v>0.588</v>
      </c>
    </row>
    <row r="9" customFormat="false" ht="15" hidden="false" customHeight="false" outlineLevel="0" collapsed="false">
      <c r="A9" s="0" t="n">
        <v>6</v>
      </c>
      <c r="B9" s="0" t="s">
        <v>193</v>
      </c>
      <c r="C9" s="0" t="s">
        <v>16</v>
      </c>
      <c r="D9" s="0" t="s">
        <v>157</v>
      </c>
      <c r="E9" s="0" t="n">
        <v>17</v>
      </c>
      <c r="F9" s="0" t="n">
        <v>83.6666666666667</v>
      </c>
      <c r="G9" s="0" t="n">
        <v>207</v>
      </c>
      <c r="H9" s="0" t="n">
        <v>243</v>
      </c>
      <c r="I9" s="0" t="n">
        <v>20</v>
      </c>
      <c r="J9" s="0" t="n">
        <v>16</v>
      </c>
      <c r="K9" s="0" t="n">
        <v>4</v>
      </c>
      <c r="L9" s="0" t="n">
        <v>13</v>
      </c>
      <c r="M9" s="0" t="n">
        <v>0</v>
      </c>
      <c r="N9" s="0" t="n">
        <f aca="false">IF((K9+L9)&gt;0,ROUND(K9/(K9+L9),3),0)</f>
        <v>0.235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167</v>
      </c>
      <c r="E4" s="0" t="n">
        <v>22</v>
      </c>
      <c r="F4" s="0" t="n">
        <v>114.333333333333</v>
      </c>
      <c r="G4" s="0" t="n">
        <v>160</v>
      </c>
      <c r="H4" s="0" t="n">
        <v>242</v>
      </c>
      <c r="I4" s="0" t="n">
        <v>42</v>
      </c>
      <c r="J4" s="0" t="n">
        <v>43</v>
      </c>
      <c r="K4" s="0" t="n">
        <v>10</v>
      </c>
      <c r="L4" s="0" t="n">
        <v>9</v>
      </c>
      <c r="M4" s="0" t="n">
        <v>2</v>
      </c>
      <c r="N4" s="0" t="n">
        <f aca="false">IF((K4+L4)&gt;0,ROUND(K4/(K4+L4),3),0)</f>
        <v>0.526</v>
      </c>
    </row>
    <row r="5" customFormat="false" ht="15" hidden="false" customHeight="false" outlineLevel="0" collapsed="false">
      <c r="A5" s="0" t="n">
        <v>2</v>
      </c>
      <c r="B5" s="0" t="s">
        <v>197</v>
      </c>
      <c r="C5" s="0" t="s">
        <v>16</v>
      </c>
      <c r="D5" s="0" t="s">
        <v>166</v>
      </c>
      <c r="E5" s="0" t="n">
        <v>18</v>
      </c>
      <c r="F5" s="0" t="n">
        <v>94.6666666666667</v>
      </c>
      <c r="G5" s="0" t="n">
        <v>139</v>
      </c>
      <c r="H5" s="0" t="n">
        <v>208</v>
      </c>
      <c r="I5" s="0" t="n">
        <v>30</v>
      </c>
      <c r="J5" s="0" t="n">
        <v>18</v>
      </c>
      <c r="K5" s="0" t="n">
        <v>10</v>
      </c>
      <c r="L5" s="0" t="n">
        <v>6</v>
      </c>
      <c r="M5" s="0" t="n">
        <v>0</v>
      </c>
      <c r="N5" s="0" t="n">
        <f aca="false">IF((K5+L5)&gt;0,ROUND(K5/(K5+L5),3),0)</f>
        <v>0.625</v>
      </c>
    </row>
    <row r="6" customFormat="false" ht="15" hidden="false" customHeight="false" outlineLevel="0" collapsed="false">
      <c r="A6" s="0" t="n">
        <v>3</v>
      </c>
      <c r="B6" s="0" t="s">
        <v>168</v>
      </c>
      <c r="C6" s="0" t="s">
        <v>16</v>
      </c>
      <c r="D6" s="0" t="s">
        <v>157</v>
      </c>
      <c r="E6" s="0" t="n">
        <v>22</v>
      </c>
      <c r="F6" s="0" t="n">
        <v>121.333333333333</v>
      </c>
      <c r="G6" s="0" t="n">
        <v>182</v>
      </c>
      <c r="H6" s="0" t="n">
        <v>288</v>
      </c>
      <c r="I6" s="0" t="n">
        <v>25</v>
      </c>
      <c r="J6" s="0" t="n">
        <v>27</v>
      </c>
      <c r="K6" s="0" t="n">
        <v>13</v>
      </c>
      <c r="L6" s="0" t="n">
        <v>9</v>
      </c>
      <c r="M6" s="0" t="n">
        <v>0</v>
      </c>
      <c r="N6" s="0" t="n">
        <f aca="false">IF((K6+L6)&gt;0,ROUND(K6/(K6+L6),3),0)</f>
        <v>0.591</v>
      </c>
    </row>
    <row r="7" customFormat="false" ht="15" hidden="false" customHeight="false" outlineLevel="0" collapsed="false">
      <c r="A7" s="0" t="n">
        <v>4</v>
      </c>
      <c r="B7" s="0" t="s">
        <v>193</v>
      </c>
      <c r="C7" s="0" t="s">
        <v>16</v>
      </c>
      <c r="D7" s="0" t="s">
        <v>155</v>
      </c>
      <c r="E7" s="0" t="n">
        <v>25</v>
      </c>
      <c r="F7" s="0" t="n">
        <v>126</v>
      </c>
      <c r="G7" s="0" t="n">
        <v>194</v>
      </c>
      <c r="H7" s="0" t="n">
        <v>302</v>
      </c>
      <c r="I7" s="0" t="n">
        <v>31</v>
      </c>
      <c r="J7" s="0" t="n">
        <v>30</v>
      </c>
      <c r="K7" s="0" t="n">
        <v>14</v>
      </c>
      <c r="L7" s="0" t="n">
        <v>7</v>
      </c>
      <c r="M7" s="0" t="n">
        <v>2</v>
      </c>
      <c r="N7" s="0" t="n">
        <f aca="false">IF((K7+L7)&gt;0,ROUND(K7/(K7+L7),3),0)</f>
        <v>0.667</v>
      </c>
    </row>
    <row r="8" customFormat="false" ht="15" hidden="false" customHeight="false" outlineLevel="0" collapsed="false">
      <c r="A8" s="0" t="n">
        <v>5</v>
      </c>
      <c r="B8" s="0" t="s">
        <v>198</v>
      </c>
      <c r="C8" s="0" t="s">
        <v>16</v>
      </c>
      <c r="D8" s="0" t="s">
        <v>151</v>
      </c>
      <c r="E8" s="0" t="n">
        <v>23</v>
      </c>
      <c r="F8" s="0" t="n">
        <v>112.333333333333</v>
      </c>
      <c r="G8" s="0" t="n">
        <v>186</v>
      </c>
      <c r="H8" s="0" t="n">
        <v>254</v>
      </c>
      <c r="I8" s="0" t="n">
        <v>63</v>
      </c>
      <c r="J8" s="0" t="n">
        <v>40</v>
      </c>
      <c r="K8" s="0" t="n">
        <v>11</v>
      </c>
      <c r="L8" s="0" t="n">
        <v>10</v>
      </c>
      <c r="M8" s="0" t="n">
        <v>1</v>
      </c>
      <c r="N8" s="0" t="n">
        <f aca="false">IF((K8+L8)&gt;0,ROUND(K8/(K8+L8),3),0)</f>
        <v>0.524</v>
      </c>
    </row>
    <row r="9" customFormat="false" ht="15" hidden="false" customHeight="false" outlineLevel="0" collapsed="false">
      <c r="A9" s="0" t="n">
        <v>6</v>
      </c>
      <c r="B9" s="0" t="s">
        <v>199</v>
      </c>
      <c r="C9" s="0" t="s">
        <v>16</v>
      </c>
      <c r="D9" s="0" t="s">
        <v>153</v>
      </c>
      <c r="E9" s="0" t="n">
        <v>24</v>
      </c>
      <c r="F9" s="0" t="n">
        <v>103.333333333333</v>
      </c>
      <c r="G9" s="0" t="n">
        <v>223</v>
      </c>
      <c r="H9" s="0" t="n">
        <v>255</v>
      </c>
      <c r="I9" s="0" t="n">
        <v>47</v>
      </c>
      <c r="J9" s="0" t="n">
        <v>35</v>
      </c>
      <c r="K9" s="0" t="n">
        <v>4</v>
      </c>
      <c r="L9" s="0" t="n">
        <v>17</v>
      </c>
      <c r="M9" s="0" t="n">
        <v>0</v>
      </c>
      <c r="N9" s="0" t="n">
        <f aca="false">IF((K9+L9)&gt;0,ROUND(K9/(K9+L9),3),0)</f>
        <v>0.19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150</v>
      </c>
      <c r="C4" s="0" t="s">
        <v>16</v>
      </c>
      <c r="D4" s="0" t="s">
        <v>166</v>
      </c>
      <c r="E4" s="0" t="n">
        <v>23</v>
      </c>
      <c r="F4" s="0" t="n">
        <v>132.333333333333</v>
      </c>
      <c r="G4" s="0" t="n">
        <v>130</v>
      </c>
      <c r="H4" s="0" t="n">
        <v>222</v>
      </c>
      <c r="I4" s="0" t="n">
        <v>38</v>
      </c>
      <c r="J4" s="0" t="n">
        <v>55</v>
      </c>
      <c r="K4" s="0" t="n">
        <v>20</v>
      </c>
      <c r="L4" s="0" t="n">
        <v>3</v>
      </c>
      <c r="M4" s="0" t="n">
        <v>0</v>
      </c>
      <c r="N4" s="0" t="n">
        <f aca="false">IF((K4+L4)&gt;0,ROUND(K4/(K4+L4),3),0)</f>
        <v>0.87</v>
      </c>
    </row>
    <row r="5" customFormat="false" ht="15" hidden="false" customHeight="false" outlineLevel="0" collapsed="false">
      <c r="A5" s="0" t="n">
        <v>2</v>
      </c>
      <c r="B5" s="0" t="s">
        <v>188</v>
      </c>
      <c r="C5" s="0" t="s">
        <v>16</v>
      </c>
      <c r="D5" s="0" t="s">
        <v>167</v>
      </c>
      <c r="E5" s="0" t="n">
        <v>21</v>
      </c>
      <c r="F5" s="0" t="n">
        <v>114.666666666667</v>
      </c>
      <c r="G5" s="0" t="n">
        <v>134</v>
      </c>
      <c r="H5" s="0" t="n">
        <v>223</v>
      </c>
      <c r="I5" s="0" t="n">
        <v>42</v>
      </c>
      <c r="J5" s="0" t="n">
        <v>26</v>
      </c>
      <c r="K5" s="0" t="n">
        <v>10</v>
      </c>
      <c r="L5" s="0" t="n">
        <v>10</v>
      </c>
      <c r="M5" s="0" t="n">
        <v>1</v>
      </c>
      <c r="N5" s="0" t="n">
        <f aca="false">IF((K5+L5)&gt;0,ROUND(K5/(K5+L5),3),0)</f>
        <v>0.5</v>
      </c>
    </row>
    <row r="6" customFormat="false" ht="15" hidden="false" customHeight="false" outlineLevel="0" collapsed="false">
      <c r="A6" s="0" t="n">
        <v>3</v>
      </c>
      <c r="B6" s="0" t="s">
        <v>168</v>
      </c>
      <c r="C6" s="0" t="s">
        <v>16</v>
      </c>
      <c r="D6" s="0" t="s">
        <v>151</v>
      </c>
      <c r="E6" s="0" t="n">
        <v>23</v>
      </c>
      <c r="F6" s="0" t="n">
        <v>131.666666666667</v>
      </c>
      <c r="G6" s="0" t="n">
        <v>175</v>
      </c>
      <c r="H6" s="0" t="n">
        <v>300</v>
      </c>
      <c r="I6" s="0" t="n">
        <v>19</v>
      </c>
      <c r="J6" s="0" t="n">
        <v>22</v>
      </c>
      <c r="K6" s="0" t="n">
        <v>15</v>
      </c>
      <c r="L6" s="0" t="n">
        <v>7</v>
      </c>
      <c r="M6" s="0" t="n">
        <v>0</v>
      </c>
      <c r="N6" s="0" t="n">
        <f aca="false">IF((K6+L6)&gt;0,ROUND(K6/(K6+L6),3),0)</f>
        <v>0.682</v>
      </c>
    </row>
    <row r="7" customFormat="false" ht="15" hidden="false" customHeight="false" outlineLevel="0" collapsed="false">
      <c r="A7" s="0" t="n">
        <v>4</v>
      </c>
      <c r="B7" s="0" t="s">
        <v>198</v>
      </c>
      <c r="C7" s="0" t="s">
        <v>16</v>
      </c>
      <c r="D7" s="0" t="s">
        <v>155</v>
      </c>
      <c r="E7" s="0" t="n">
        <v>19</v>
      </c>
      <c r="F7" s="0" t="n">
        <v>99.6666666666667</v>
      </c>
      <c r="G7" s="0" t="n">
        <v>151</v>
      </c>
      <c r="H7" s="0" t="n">
        <v>238</v>
      </c>
      <c r="I7" s="0" t="n">
        <v>50</v>
      </c>
      <c r="J7" s="0" t="n">
        <v>22</v>
      </c>
      <c r="K7" s="0" t="n">
        <v>7</v>
      </c>
      <c r="L7" s="0" t="n">
        <v>12</v>
      </c>
      <c r="M7" s="0" t="n">
        <v>0</v>
      </c>
      <c r="N7" s="0" t="n">
        <f aca="false">IF((K7+L7)&gt;0,ROUND(K7/(K7+L7),3),0)</f>
        <v>0.368</v>
      </c>
    </row>
    <row r="8" customFormat="false" ht="15" hidden="false" customHeight="false" outlineLevel="0" collapsed="false">
      <c r="A8" s="0" t="n">
        <v>5</v>
      </c>
      <c r="B8" s="0" t="s">
        <v>193</v>
      </c>
      <c r="C8" s="0" t="s">
        <v>16</v>
      </c>
      <c r="D8" s="0" t="s">
        <v>157</v>
      </c>
      <c r="E8" s="0" t="n">
        <v>18</v>
      </c>
      <c r="F8" s="0" t="n">
        <v>92</v>
      </c>
      <c r="G8" s="0" t="n">
        <v>145</v>
      </c>
      <c r="H8" s="0" t="n">
        <v>223</v>
      </c>
      <c r="I8" s="0" t="n">
        <v>23</v>
      </c>
      <c r="J8" s="0" t="n">
        <v>15</v>
      </c>
      <c r="K8" s="0" t="n">
        <v>6</v>
      </c>
      <c r="L8" s="0" t="n">
        <v>11</v>
      </c>
      <c r="M8" s="0" t="n">
        <v>1</v>
      </c>
      <c r="N8" s="0" t="n">
        <f aca="false">IF((K8+L8)&gt;0,ROUND(K8/(K8+L8),3),0)</f>
        <v>0.353</v>
      </c>
    </row>
    <row r="9" customFormat="false" ht="15" hidden="false" customHeight="false" outlineLevel="0" collapsed="false">
      <c r="A9" s="0" t="n">
        <v>6</v>
      </c>
      <c r="B9" s="0" t="s">
        <v>199</v>
      </c>
      <c r="C9" s="0" t="s">
        <v>16</v>
      </c>
      <c r="D9" s="0" t="s">
        <v>153</v>
      </c>
      <c r="E9" s="0" t="n">
        <v>22</v>
      </c>
      <c r="F9" s="0" t="n">
        <v>103.666666666667</v>
      </c>
      <c r="G9" s="0" t="n">
        <v>180</v>
      </c>
      <c r="H9" s="0" t="n">
        <v>243</v>
      </c>
      <c r="I9" s="0" t="n">
        <v>38</v>
      </c>
      <c r="J9" s="0" t="n">
        <v>24</v>
      </c>
      <c r="K9" s="0" t="n">
        <v>6</v>
      </c>
      <c r="L9" s="0" t="n">
        <v>14</v>
      </c>
      <c r="M9" s="0" t="n">
        <v>1</v>
      </c>
      <c r="N9" s="0" t="n">
        <f aca="false">IF((K9+L9)&gt;0,ROUND(K9/(K9+L9),3),0)</f>
        <v>0.3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190</v>
      </c>
      <c r="C4" s="0" t="s">
        <v>16</v>
      </c>
      <c r="D4" s="0" t="s">
        <v>167</v>
      </c>
      <c r="E4" s="0" t="n">
        <v>14</v>
      </c>
      <c r="F4" s="0" t="n">
        <v>78</v>
      </c>
      <c r="G4" s="0" t="n">
        <v>91</v>
      </c>
      <c r="H4" s="0" t="n">
        <v>152</v>
      </c>
      <c r="I4" s="0" t="n">
        <v>17</v>
      </c>
      <c r="J4" s="0" t="n">
        <v>35</v>
      </c>
      <c r="K4" s="0" t="n">
        <v>9</v>
      </c>
      <c r="L4" s="0" t="n">
        <v>5</v>
      </c>
      <c r="M4" s="0" t="n">
        <v>0</v>
      </c>
      <c r="N4" s="0" t="n">
        <f aca="false">IF((K4+L4)&gt;0,ROUND(K4/(K4+L4),3),0)</f>
        <v>0.643</v>
      </c>
    </row>
    <row r="5" customFormat="false" ht="15" hidden="false" customHeight="false" outlineLevel="0" collapsed="false">
      <c r="A5" s="0" t="n">
        <v>2</v>
      </c>
      <c r="B5" s="0" t="s">
        <v>168</v>
      </c>
      <c r="C5" s="0" t="s">
        <v>16</v>
      </c>
      <c r="D5" s="0" t="s">
        <v>166</v>
      </c>
      <c r="E5" s="0" t="n">
        <v>24</v>
      </c>
      <c r="F5" s="0" t="n">
        <v>132.333333333333</v>
      </c>
      <c r="G5" s="0" t="n">
        <v>162</v>
      </c>
      <c r="H5" s="0" t="n">
        <v>289</v>
      </c>
      <c r="I5" s="0" t="n">
        <v>25</v>
      </c>
      <c r="J5" s="0" t="n">
        <v>39</v>
      </c>
      <c r="K5" s="0" t="n">
        <v>18</v>
      </c>
      <c r="L5" s="0" t="n">
        <v>5</v>
      </c>
      <c r="M5" s="0" t="n">
        <v>1</v>
      </c>
      <c r="N5" s="0" t="n">
        <f aca="false">IF((K5+L5)&gt;0,ROUND(K5/(K5+L5),3),0)</f>
        <v>0.783</v>
      </c>
    </row>
    <row r="6" customFormat="false" ht="15" hidden="false" customHeight="false" outlineLevel="0" collapsed="false">
      <c r="A6" s="0" t="n">
        <v>3</v>
      </c>
      <c r="B6" s="0" t="s">
        <v>188</v>
      </c>
      <c r="C6" s="0" t="s">
        <v>16</v>
      </c>
      <c r="D6" s="0" t="s">
        <v>155</v>
      </c>
      <c r="E6" s="0" t="n">
        <v>22</v>
      </c>
      <c r="F6" s="0" t="n">
        <v>124</v>
      </c>
      <c r="G6" s="0" t="n">
        <v>168</v>
      </c>
      <c r="H6" s="0" t="n">
        <v>261</v>
      </c>
      <c r="I6" s="0" t="n">
        <v>39</v>
      </c>
      <c r="J6" s="0" t="n">
        <v>31</v>
      </c>
      <c r="K6" s="0" t="n">
        <v>11</v>
      </c>
      <c r="L6" s="0" t="n">
        <v>9</v>
      </c>
      <c r="M6" s="0" t="n">
        <v>2</v>
      </c>
      <c r="N6" s="0" t="n">
        <f aca="false">IF((K6+L6)&gt;0,ROUND(K6/(K6+L6),3),0)</f>
        <v>0.55</v>
      </c>
    </row>
    <row r="7" customFormat="false" ht="15" hidden="false" customHeight="false" outlineLevel="0" collapsed="false">
      <c r="A7" s="0" t="n">
        <v>4</v>
      </c>
      <c r="B7" s="0" t="s">
        <v>202</v>
      </c>
      <c r="C7" s="0" t="s">
        <v>16</v>
      </c>
      <c r="D7" s="0" t="s">
        <v>157</v>
      </c>
      <c r="E7" s="0" t="n">
        <v>21</v>
      </c>
      <c r="F7" s="0" t="n">
        <v>108.666666666667</v>
      </c>
      <c r="G7" s="0" t="n">
        <v>151</v>
      </c>
      <c r="H7" s="0" t="n">
        <v>249</v>
      </c>
      <c r="I7" s="0" t="n">
        <v>38</v>
      </c>
      <c r="J7" s="0" t="n">
        <v>20</v>
      </c>
      <c r="K7" s="0" t="n">
        <v>10</v>
      </c>
      <c r="L7" s="0" t="n">
        <v>10</v>
      </c>
      <c r="M7" s="0" t="n">
        <v>1</v>
      </c>
      <c r="N7" s="0" t="n">
        <f aca="false">IF((K7+L7)&gt;0,ROUND(K7/(K7+L7),3),0)</f>
        <v>0.5</v>
      </c>
    </row>
    <row r="8" customFormat="false" ht="15" hidden="false" customHeight="false" outlineLevel="0" collapsed="false">
      <c r="A8" s="0" t="n">
        <v>5</v>
      </c>
      <c r="B8" s="0" t="s">
        <v>198</v>
      </c>
      <c r="C8" s="0" t="s">
        <v>16</v>
      </c>
      <c r="D8" s="0" t="s">
        <v>151</v>
      </c>
      <c r="E8" s="0" t="n">
        <v>17</v>
      </c>
      <c r="F8" s="0" t="n">
        <v>88.3333333333333</v>
      </c>
      <c r="G8" s="0" t="n">
        <v>144</v>
      </c>
      <c r="H8" s="0" t="n">
        <v>228</v>
      </c>
      <c r="I8" s="0" t="n">
        <v>32</v>
      </c>
      <c r="J8" s="0" t="n">
        <v>17</v>
      </c>
      <c r="K8" s="0" t="n">
        <v>6</v>
      </c>
      <c r="L8" s="0" t="n">
        <v>10</v>
      </c>
      <c r="M8" s="0" t="n">
        <v>1</v>
      </c>
      <c r="N8" s="0" t="n">
        <f aca="false">IF((K8+L8)&gt;0,ROUND(K8/(K8+L8),3),0)</f>
        <v>0.375</v>
      </c>
    </row>
    <row r="9" customFormat="false" ht="15" hidden="false" customHeight="false" outlineLevel="0" collapsed="false">
      <c r="A9" s="0" t="n">
        <v>6</v>
      </c>
      <c r="B9" s="0" t="s">
        <v>203</v>
      </c>
      <c r="C9" s="0" t="s">
        <v>16</v>
      </c>
      <c r="D9" s="0" t="s">
        <v>153</v>
      </c>
      <c r="E9" s="0" t="n">
        <v>22</v>
      </c>
      <c r="F9" s="0" t="n">
        <v>94.6666666666667</v>
      </c>
      <c r="G9" s="0" t="n">
        <v>168</v>
      </c>
      <c r="H9" s="0" t="n">
        <v>241</v>
      </c>
      <c r="I9" s="0" t="n">
        <v>40</v>
      </c>
      <c r="J9" s="0" t="n">
        <v>31</v>
      </c>
      <c r="K9" s="0" t="n">
        <v>6</v>
      </c>
      <c r="L9" s="0" t="n">
        <v>13</v>
      </c>
      <c r="M9" s="0" t="n">
        <v>0</v>
      </c>
      <c r="N9" s="0" t="n">
        <f aca="false">IF((K9+L9)&gt;0,ROUND(K9/(K9+L9),3),0)</f>
        <v>0.316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10" min="6" style="0" width="8"/>
    <col collapsed="false" customWidth="true" hidden="false" outlineLevel="0" max="13" min="11" style="0" width="6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0" t="n">
        <v>1</v>
      </c>
      <c r="B4" s="0" t="s">
        <v>190</v>
      </c>
      <c r="C4" s="0" t="s">
        <v>16</v>
      </c>
      <c r="D4" s="0" t="s">
        <v>153</v>
      </c>
      <c r="E4" s="0" t="n">
        <v>19</v>
      </c>
      <c r="F4" s="0" t="n">
        <v>98</v>
      </c>
      <c r="G4" s="0" t="n">
        <v>121</v>
      </c>
      <c r="H4" s="0" t="n">
        <v>181</v>
      </c>
      <c r="I4" s="0" t="n">
        <v>29</v>
      </c>
      <c r="J4" s="0" t="n">
        <v>49</v>
      </c>
      <c r="K4" s="0" t="n">
        <v>8</v>
      </c>
      <c r="L4" s="0" t="n">
        <v>10</v>
      </c>
      <c r="M4" s="0" t="n">
        <v>1</v>
      </c>
      <c r="N4" s="0" t="n">
        <f aca="false">IF((K4+L4)&gt;0,ROUND(K4/(K4+L4),3),0)</f>
        <v>0.444</v>
      </c>
    </row>
    <row r="5" customFormat="false" ht="15" hidden="false" customHeight="false" outlineLevel="0" collapsed="false">
      <c r="A5" s="0" t="n">
        <v>2</v>
      </c>
      <c r="B5" s="0" t="s">
        <v>188</v>
      </c>
      <c r="C5" s="0" t="s">
        <v>16</v>
      </c>
      <c r="D5" s="0" t="s">
        <v>167</v>
      </c>
      <c r="E5" s="0" t="n">
        <v>21</v>
      </c>
      <c r="F5" s="0" t="n">
        <v>114.666666666667</v>
      </c>
      <c r="G5" s="0" t="n">
        <v>137</v>
      </c>
      <c r="H5" s="0" t="n">
        <v>210</v>
      </c>
      <c r="I5" s="0" t="n">
        <v>29</v>
      </c>
      <c r="J5" s="0" t="n">
        <v>23</v>
      </c>
      <c r="K5" s="0" t="n">
        <v>9</v>
      </c>
      <c r="L5" s="0" t="n">
        <v>9</v>
      </c>
      <c r="M5" s="0" t="n">
        <v>2</v>
      </c>
      <c r="N5" s="0" t="n">
        <f aca="false">IF((K5+L5)&gt;0,ROUND(K5/(K5+L5),3),0)</f>
        <v>0.5</v>
      </c>
    </row>
    <row r="6" customFormat="false" ht="15" hidden="false" customHeight="false" outlineLevel="0" collapsed="false">
      <c r="A6" s="0" t="n">
        <v>3</v>
      </c>
      <c r="B6" s="0" t="s">
        <v>202</v>
      </c>
      <c r="C6" s="0" t="s">
        <v>16</v>
      </c>
      <c r="D6" s="0" t="s">
        <v>155</v>
      </c>
      <c r="E6" s="0" t="n">
        <v>24</v>
      </c>
      <c r="F6" s="0" t="n">
        <v>126</v>
      </c>
      <c r="G6" s="0" t="n">
        <v>161</v>
      </c>
      <c r="H6" s="0" t="n">
        <v>258</v>
      </c>
      <c r="I6" s="0" t="n">
        <v>44</v>
      </c>
      <c r="J6" s="0" t="n">
        <v>34</v>
      </c>
      <c r="K6" s="0" t="n">
        <v>13</v>
      </c>
      <c r="L6" s="0" t="n">
        <v>9</v>
      </c>
      <c r="M6" s="0" t="n">
        <v>2</v>
      </c>
      <c r="N6" s="0" t="n">
        <f aca="false">IF((K6+L6)&gt;0,ROUND(K6/(K6+L6),3),0)</f>
        <v>0.591</v>
      </c>
    </row>
    <row r="7" customFormat="false" ht="15" hidden="false" customHeight="false" outlineLevel="0" collapsed="false">
      <c r="A7" s="0" t="n">
        <v>4</v>
      </c>
      <c r="B7" s="0" t="s">
        <v>168</v>
      </c>
      <c r="C7" s="0" t="s">
        <v>16</v>
      </c>
      <c r="D7" s="0" t="s">
        <v>151</v>
      </c>
      <c r="E7" s="0" t="n">
        <v>24</v>
      </c>
      <c r="F7" s="0" t="n">
        <v>125</v>
      </c>
      <c r="G7" s="0" t="n">
        <v>189</v>
      </c>
      <c r="H7" s="0" t="n">
        <v>303</v>
      </c>
      <c r="I7" s="0" t="n">
        <v>40</v>
      </c>
      <c r="J7" s="0" t="n">
        <v>34</v>
      </c>
      <c r="K7" s="0" t="n">
        <v>8</v>
      </c>
      <c r="L7" s="0" t="n">
        <v>15</v>
      </c>
      <c r="M7" s="0" t="n">
        <v>1</v>
      </c>
      <c r="N7" s="0" t="n">
        <f aca="false">IF((K7+L7)&gt;0,ROUND(K7/(K7+L7),3),0)</f>
        <v>0.348</v>
      </c>
    </row>
    <row r="8" customFormat="false" ht="15" hidden="false" customHeight="false" outlineLevel="0" collapsed="false">
      <c r="A8" s="0" t="n">
        <v>5</v>
      </c>
      <c r="B8" s="0" t="s">
        <v>203</v>
      </c>
      <c r="C8" s="0" t="s">
        <v>16</v>
      </c>
      <c r="D8" s="0" t="s">
        <v>157</v>
      </c>
      <c r="E8" s="0" t="n">
        <v>20</v>
      </c>
      <c r="F8" s="0" t="n">
        <v>103</v>
      </c>
      <c r="G8" s="0" t="n">
        <v>157</v>
      </c>
      <c r="H8" s="0" t="n">
        <v>245</v>
      </c>
      <c r="I8" s="0" t="n">
        <v>50</v>
      </c>
      <c r="J8" s="0" t="n">
        <v>20</v>
      </c>
      <c r="K8" s="0" t="n">
        <v>10</v>
      </c>
      <c r="L8" s="0" t="n">
        <v>9</v>
      </c>
      <c r="M8" s="0" t="n">
        <v>1</v>
      </c>
      <c r="N8" s="0" t="n">
        <f aca="false">IF((K8+L8)&gt;0,ROUND(K8/(K8+L8),3),0)</f>
        <v>0.526</v>
      </c>
    </row>
    <row r="9" customFormat="false" ht="15" hidden="false" customHeight="false" outlineLevel="0" collapsed="false">
      <c r="A9" s="0" t="n">
        <v>6</v>
      </c>
      <c r="B9" s="0" t="s">
        <v>199</v>
      </c>
      <c r="C9" s="0" t="s">
        <v>16</v>
      </c>
      <c r="D9" s="0" t="s">
        <v>166</v>
      </c>
      <c r="E9" s="0" t="n">
        <v>21</v>
      </c>
      <c r="F9" s="0" t="n">
        <v>99.3333333333333</v>
      </c>
      <c r="G9" s="0" t="n">
        <v>180</v>
      </c>
      <c r="H9" s="0" t="n">
        <v>242</v>
      </c>
      <c r="I9" s="0" t="n">
        <v>43</v>
      </c>
      <c r="J9" s="0" t="n">
        <v>24</v>
      </c>
      <c r="K9" s="0" t="n">
        <v>9</v>
      </c>
      <c r="L9" s="0" t="n">
        <v>8</v>
      </c>
      <c r="M9" s="0" t="n">
        <v>3</v>
      </c>
      <c r="N9" s="0" t="n">
        <f aca="false">IF((K9+L9)&gt;0,ROUND(K9/(K9+L9),3),0)</f>
        <v>0.529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  <c r="B3" s="2" t="s">
        <v>206</v>
      </c>
      <c r="C3" s="2" t="s">
        <v>4</v>
      </c>
      <c r="D3" s="2" t="s">
        <v>207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customFormat="false" ht="15" hidden="false" customHeight="false" outlineLevel="0" collapsed="false">
      <c r="A4" s="0" t="n">
        <v>1</v>
      </c>
      <c r="B4" s="0" t="s">
        <v>208</v>
      </c>
      <c r="D4" s="0" t="n">
        <v>12</v>
      </c>
      <c r="J4" s="0" t="n">
        <v>85</v>
      </c>
      <c r="K4" s="0" t="n">
        <v>80</v>
      </c>
      <c r="M4" s="0" t="n">
        <f aca="false">IF((J4+K4)&gt;0,ROUND(J4/(J4+K4),3),0)</f>
        <v>0.515</v>
      </c>
    </row>
    <row r="5" customFormat="false" ht="15" hidden="false" customHeight="false" outlineLevel="0" collapsed="false">
      <c r="A5" s="0" t="n">
        <v>2</v>
      </c>
      <c r="B5" s="0" t="s">
        <v>209</v>
      </c>
      <c r="D5" s="0" t="n">
        <v>12</v>
      </c>
      <c r="J5" s="0" t="n">
        <v>66</v>
      </c>
      <c r="K5" s="0" t="n">
        <v>38</v>
      </c>
      <c r="M5" s="0" t="n">
        <f aca="false">IF((J5+K5)&gt;0,ROUND(J5/(J5+K5),3),0)</f>
        <v>0.635</v>
      </c>
    </row>
    <row r="6" customFormat="false" ht="15" hidden="false" customHeight="false" outlineLevel="0" collapsed="false">
      <c r="A6" s="0" t="n">
        <v>3</v>
      </c>
      <c r="B6" s="0" t="s">
        <v>210</v>
      </c>
      <c r="D6" s="0" t="n">
        <v>2</v>
      </c>
      <c r="J6" s="0" t="n">
        <v>23</v>
      </c>
      <c r="K6" s="0" t="n">
        <v>14</v>
      </c>
      <c r="M6" s="0" t="n">
        <f aca="false">IF((J6+K6)&gt;0,ROUND(J6/(J6+K6),3),0)</f>
        <v>0.622</v>
      </c>
    </row>
    <row r="7" customFormat="false" ht="15" hidden="false" customHeight="false" outlineLevel="0" collapsed="false">
      <c r="A7" s="0" t="n">
        <v>4</v>
      </c>
      <c r="B7" s="0" t="s">
        <v>211</v>
      </c>
      <c r="D7" s="0" t="n">
        <v>2</v>
      </c>
      <c r="J7" s="0" t="n">
        <v>20</v>
      </c>
      <c r="K7" s="0" t="n">
        <v>9</v>
      </c>
      <c r="M7" s="0" t="n">
        <f aca="false">IF((J7+K7)&gt;0,ROUND(J7/(J7+K7),3),0)</f>
        <v>0.69</v>
      </c>
    </row>
    <row r="8" customFormat="false" ht="15" hidden="false" customHeight="false" outlineLevel="0" collapsed="false">
      <c r="A8" s="0" t="n">
        <v>5</v>
      </c>
      <c r="B8" s="0" t="s">
        <v>212</v>
      </c>
      <c r="D8" s="0" t="n">
        <v>3</v>
      </c>
      <c r="J8" s="0" t="n">
        <v>19</v>
      </c>
      <c r="K8" s="0" t="n">
        <v>17</v>
      </c>
      <c r="M8" s="0" t="n">
        <f aca="false">IF((J8+K8)&gt;0,ROUND(J8/(J8+K8),3),0)</f>
        <v>0.528</v>
      </c>
    </row>
    <row r="9" customFormat="false" ht="15" hidden="false" customHeight="false" outlineLevel="0" collapsed="false">
      <c r="A9" s="0" t="n">
        <v>6</v>
      </c>
      <c r="B9" s="0" t="s">
        <v>213</v>
      </c>
      <c r="D9" s="0" t="n">
        <v>6</v>
      </c>
      <c r="J9" s="0" t="n">
        <v>17</v>
      </c>
      <c r="K9" s="0" t="n">
        <v>21</v>
      </c>
      <c r="M9" s="0" t="n">
        <f aca="false">IF((J9+K9)&gt;0,ROUND(J9/(J9+K9),3),0)</f>
        <v>0.447</v>
      </c>
    </row>
    <row r="10" customFormat="false" ht="15" hidden="false" customHeight="false" outlineLevel="0" collapsed="false">
      <c r="A10" s="0" t="n">
        <v>7</v>
      </c>
      <c r="B10" s="0" t="s">
        <v>214</v>
      </c>
      <c r="D10" s="0" t="n">
        <v>3</v>
      </c>
      <c r="J10" s="0" t="n">
        <v>17</v>
      </c>
      <c r="K10" s="0" t="n">
        <v>22</v>
      </c>
      <c r="M10" s="0" t="n">
        <f aca="false">IF((J10+K10)&gt;0,ROUND(J10/(J10+K10),3),0)</f>
        <v>0.436</v>
      </c>
    </row>
    <row r="11" customFormat="false" ht="15" hidden="false" customHeight="false" outlineLevel="0" collapsed="false">
      <c r="A11" s="0" t="n">
        <v>8</v>
      </c>
      <c r="B11" s="0" t="s">
        <v>215</v>
      </c>
      <c r="D11" s="0" t="n">
        <v>8</v>
      </c>
      <c r="J11" s="0" t="n">
        <v>10</v>
      </c>
      <c r="K11" s="0" t="n">
        <v>27</v>
      </c>
      <c r="M11" s="0" t="n">
        <f aca="false">IF((J11+K11)&gt;0,ROUND(J11/(J11+K11),3),0)</f>
        <v>0.27</v>
      </c>
    </row>
    <row r="12" customFormat="false" ht="15" hidden="false" customHeight="false" outlineLevel="0" collapsed="false">
      <c r="A12" s="0" t="n">
        <v>9</v>
      </c>
      <c r="B12" s="0" t="s">
        <v>216</v>
      </c>
      <c r="D12" s="0" t="n">
        <v>2</v>
      </c>
      <c r="J12" s="0" t="n">
        <v>5</v>
      </c>
      <c r="K12" s="0" t="n">
        <v>6</v>
      </c>
      <c r="M12" s="0" t="n">
        <f aca="false">IF((J12+K12)&gt;0,ROUND(J12/(J12+K12),3),0)</f>
        <v>0.455</v>
      </c>
    </row>
    <row r="13" customFormat="false" ht="15" hidden="false" customHeight="false" outlineLevel="0" collapsed="false">
      <c r="A13" s="0" t="n">
        <v>10</v>
      </c>
      <c r="B13" s="0" t="s">
        <v>217</v>
      </c>
      <c r="D13" s="0" t="n">
        <v>2</v>
      </c>
      <c r="J13" s="0" t="n">
        <v>4</v>
      </c>
      <c r="K13" s="0" t="n">
        <v>7</v>
      </c>
      <c r="M13" s="0" t="n">
        <f aca="false">IF((J13+K13)&gt;0,ROUND(J13/(J13+K13),3),0)</f>
        <v>0.364</v>
      </c>
    </row>
    <row r="14" customFormat="false" ht="15" hidden="false" customHeight="false" outlineLevel="0" collapsed="false">
      <c r="A14" s="0" t="n">
        <v>11</v>
      </c>
      <c r="B14" s="0" t="s">
        <v>218</v>
      </c>
      <c r="D14" s="0" t="n">
        <v>3</v>
      </c>
      <c r="J14" s="0" t="n">
        <v>3</v>
      </c>
      <c r="K14" s="0" t="n">
        <v>5</v>
      </c>
      <c r="M14" s="0" t="n">
        <f aca="false">IF((J14+K14)&gt;0,ROUND(J14/(J14+K14),3),0)</f>
        <v>0.375</v>
      </c>
    </row>
    <row r="15" customFormat="false" ht="15" hidden="false" customHeight="false" outlineLevel="0" collapsed="false">
      <c r="A15" s="0" t="n">
        <v>12</v>
      </c>
      <c r="B15" s="0" t="s">
        <v>219</v>
      </c>
      <c r="D15" s="0" t="n">
        <v>3</v>
      </c>
      <c r="J15" s="0" t="n">
        <v>3</v>
      </c>
      <c r="K15" s="0" t="n">
        <v>6</v>
      </c>
      <c r="M15" s="0" t="n">
        <f aca="false">IF((J15+K15)&gt;0,ROUND(J15/(J15+K15),3),0)</f>
        <v>0.333</v>
      </c>
    </row>
    <row r="16" customFormat="false" ht="15" hidden="false" customHeight="false" outlineLevel="0" collapsed="false">
      <c r="A16" s="0" t="n">
        <v>13</v>
      </c>
      <c r="B16" s="0" t="s">
        <v>220</v>
      </c>
      <c r="D16" s="0" t="n">
        <v>3</v>
      </c>
      <c r="J16" s="0" t="n">
        <v>2</v>
      </c>
      <c r="K16" s="0" t="n">
        <v>2</v>
      </c>
      <c r="M16" s="0" t="n">
        <f aca="false">IF((J16+K16)&gt;0,ROUND(J16/(J16+K16),3),0)</f>
        <v>0.5</v>
      </c>
    </row>
    <row r="17" customFormat="false" ht="15" hidden="false" customHeight="false" outlineLevel="0" collapsed="false">
      <c r="A17" s="0" t="n">
        <v>14</v>
      </c>
      <c r="B17" s="0" t="s">
        <v>221</v>
      </c>
      <c r="D17" s="0" t="n">
        <v>1</v>
      </c>
      <c r="J17" s="0" t="n">
        <v>0</v>
      </c>
      <c r="K17" s="0" t="n">
        <v>1</v>
      </c>
      <c r="M17" s="0" t="n">
        <f aca="false">IF((J17+K17)&gt;0,ROUND(J17/(J17+K17),3),0)</f>
        <v>0</v>
      </c>
    </row>
    <row r="18" customFormat="false" ht="15" hidden="false" customHeight="false" outlineLevel="0" collapsed="false">
      <c r="A18" s="0" t="n">
        <v>15</v>
      </c>
      <c r="B18" s="0" t="s">
        <v>222</v>
      </c>
      <c r="D18" s="0" t="n">
        <v>3</v>
      </c>
      <c r="J18" s="0" t="n">
        <v>0</v>
      </c>
      <c r="K18" s="0" t="n">
        <v>5</v>
      </c>
      <c r="M18" s="0" t="n">
        <f aca="false">IF((J18+K18)&gt;0,ROUND(J18/(J18+K18),3),0)</f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2026-01-10T17:56:41Z</dcterms:created>
  <dc:creator>openpyxl</dc:creator>
  <dc:description/>
  <dc:language>en-US</dc:language>
  <cp:lastModifiedBy/>
  <dcterms:modified xsi:type="dcterms:W3CDTF">2026-01-10T17:56:41Z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